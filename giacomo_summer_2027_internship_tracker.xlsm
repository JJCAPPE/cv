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pplications" sheetId="1" r:id="rId4"/>
    <sheet state="visible" name="Dashboard" sheetId="2" r:id="rId5"/>
    <sheet state="visible" name="Lists" sheetId="3" r:id="rId6"/>
    <sheet state="visible" name="ReadMe" sheetId="4" r:id="rId7"/>
  </sheets>
  <definedNames/>
  <calcPr/>
  <extLst>
    <ext uri="GoogleSheetsCustomDataVersion2">
      <go:sheetsCustomData xmlns:go="http://customooxmlschemas.google.com/" r:id="rId8" roundtripDataChecksum="qunyoqzW7d3Ayc+SRyQjkNAQEm5kHif3ZoVeQs7XiA0="/>
    </ext>
  </extLst>
</workbook>
</file>

<file path=xl/sharedStrings.xml><?xml version="1.0" encoding="utf-8"?>
<sst xmlns="http://schemas.openxmlformats.org/spreadsheetml/2006/main" count="658" uniqueCount="260">
  <si>
    <t>ID</t>
  </si>
  <si>
    <t>Category Rank</t>
  </si>
  <si>
    <t>Category</t>
  </si>
  <si>
    <t>Role Bucket</t>
  </si>
  <si>
    <t>Priority</t>
  </si>
  <si>
    <t>Match Score</t>
  </si>
  <si>
    <t>Company</t>
  </si>
  <si>
    <t>Exact Job Title</t>
  </si>
  <si>
    <t>Location</t>
  </si>
  <si>
    <t>Region</t>
  </si>
  <si>
    <t>East Coast/Boston Flag</t>
  </si>
  <si>
    <t>Status</t>
  </si>
  <si>
    <t>Date Applied</t>
  </si>
  <si>
    <t>Pay / Compensation</t>
  </si>
  <si>
    <t>Deadline Date</t>
  </si>
  <si>
    <t>Deadline Notes</t>
  </si>
  <si>
    <t>Days to Deadline</t>
  </si>
  <si>
    <t>Open Status</t>
  </si>
  <si>
    <t>Degree Level Fit</t>
  </si>
  <si>
    <t>Application Link</t>
  </si>
  <si>
    <t>Source URL</t>
  </si>
  <si>
    <t>Relevant Skills / Keywords</t>
  </si>
  <si>
    <t>Why It Fits</t>
  </si>
  <si>
    <t>Resume Variant</t>
  </si>
  <si>
    <t>Response / Outcome</t>
  </si>
  <si>
    <t>Interview Stage</t>
  </si>
  <si>
    <t>Offer Status</t>
  </si>
  <si>
    <t>Follow-up Date</t>
  </si>
  <si>
    <t>Referral Contact</t>
  </si>
  <si>
    <t>Next Action</t>
  </si>
  <si>
    <t>Notes</t>
  </si>
  <si>
    <t>APP-001</t>
  </si>
  <si>
    <t>AI / LLM Product Engineering</t>
  </si>
  <si>
    <t>AI / LLM Product Engineer Intern</t>
  </si>
  <si>
    <t>Very High</t>
  </si>
  <si>
    <t>Circleback</t>
  </si>
  <si>
    <t>Software Engineering Intern (Summer 2027)</t>
  </si>
  <si>
    <t>San Francisco, CA</t>
  </si>
  <si>
    <t>West Coast</t>
  </si>
  <si>
    <t>Relocation required</t>
  </si>
  <si>
    <t>Not Started</t>
  </si>
  <si>
    <t>$7,000-$10,000/month</t>
  </si>
  <si>
    <t>Unspecified</t>
  </si>
  <si>
    <t>Verified open</t>
  </si>
  <si>
    <t>Undergrad fit</t>
  </si>
  <si>
    <t>https://www.ycombinator.com/companies/circleback/jobs/lulIPMP-software-engineering-intern-summer-2027</t>
  </si>
  <si>
    <t>Full-stack, AI product, TypeScript, product ownership, startup engineering</t>
  </si>
  <si>
    <t>Best currently-live AI-product-flavored role; strong match to shipped apps, full-stack work, and LLM tooling.</t>
  </si>
  <si>
    <t>AI/ML Product + Full-Stack</t>
  </si>
  <si>
    <t>No response</t>
  </si>
  <si>
    <t>None</t>
  </si>
  <si>
    <t>Verify posting and tailor resume</t>
  </si>
  <si>
    <t>APP-004</t>
  </si>
  <si>
    <t>Walleye Capital</t>
  </si>
  <si>
    <t>Quantic - Quantitative Researcher Intern (Summer 2027)</t>
  </si>
  <si>
    <t>Boston, MA</t>
  </si>
  <si>
    <t>Boston</t>
  </si>
  <si>
    <t>Applied</t>
  </si>
  <si>
    <t>$20,000/month + $10,000 housing stipend + domestic transportation</t>
  </si>
  <si>
    <t>2026-07-31</t>
  </si>
  <si>
    <t>Friday, July 31, 2026 at 11:59pm ET</t>
  </si>
  <si>
    <t>Undergrad/masters fit</t>
  </si>
  <si>
    <t>https://job-boards.greenhouse.io/walleyecapital-external-students/jobs/4679173006</t>
  </si>
  <si>
    <t>Python/R, research tools, ML pipelines, LLM analytical pipelines, quant research</t>
  </si>
  <si>
    <t>Boston-based and very high-pay; not classic product AI, but strong ML/research-engineering overlap.</t>
  </si>
  <si>
    <t>Quant/ML Research</t>
  </si>
  <si>
    <t>APP-009</t>
  </si>
  <si>
    <t>ML Platform / AI Infrastructure</t>
  </si>
  <si>
    <t>ML Platform / AI Infrastructure Intern</t>
  </si>
  <si>
    <t>D. E. Shaw</t>
  </si>
  <si>
    <t>Systems Engineering Intern (New York) - Summer 2027</t>
  </si>
  <si>
    <t>New York, NY</t>
  </si>
  <si>
    <t>NYC</t>
  </si>
  <si>
    <t>East Coast</t>
  </si>
  <si>
    <t>$21,000/month base + overtime + $15,000 sign-on + travel + housing/$10,000 allowance + stipends</t>
  </si>
  <si>
    <t>https://www.deshaw.com/careers/Systems-Engineering-Intern-New-York-Summer-2027-5916</t>
  </si>
  <si>
    <t>Systems engineering, infrastructure, Linux, platform, cloud, reliability</t>
  </si>
  <si>
    <t>Best live infrastructure/platform role in the set; strong high-TC path.</t>
  </si>
  <si>
    <t>SWE/Backend + Infrastructure</t>
  </si>
  <si>
    <t>APP-011</t>
  </si>
  <si>
    <t>Backend / Cloud Infrastructure SWE</t>
  </si>
  <si>
    <t>Backend / Cloud Infrastructure SWE Intern</t>
  </si>
  <si>
    <t>Infrastructure, systems, Linux, platform engineering, security, reliability</t>
  </si>
  <si>
    <t>Deep infra, Linux/cloud/security exposure, elite compensation.</t>
  </si>
  <si>
    <t>APP-012</t>
  </si>
  <si>
    <t>Software Developer Intern (New York) - Summer 2027</t>
  </si>
  <si>
    <t>$25,000/month base + overtime + $25,000 sign-on + travel + housing/$10,000 allowance + stipends</t>
  </si>
  <si>
    <t>https://www.deshaw.com/careers/software-developer-intern-new-york-summer-2027-5894</t>
  </si>
  <si>
    <t>Software development, algorithms, systems, backend, high-performance engineering</t>
  </si>
  <si>
    <t>Best current backend/SWE role with very high compensation and brand value.</t>
  </si>
  <si>
    <t>APP-016</t>
  </si>
  <si>
    <t>Data Engineering / ML Data Systems</t>
  </si>
  <si>
    <t>Data Engineering / ML Data Systems Intern</t>
  </si>
  <si>
    <t>Investment Data Science Intern (Summer 2027)</t>
  </si>
  <si>
    <t>$14,000/month + $10,000 housing stipend + domestic transportation</t>
  </si>
  <si>
    <t>https://job-boards.greenhouse.io/walleyecapital-external-students/jobs/4676587006</t>
  </si>
  <si>
    <t>Central data science, Python, SQL, pipelines, investment data, ML systems</t>
  </si>
  <si>
    <t>Strongest current data/ML systems role for your background.</t>
  </si>
  <si>
    <t>Data/ML Systems</t>
  </si>
  <si>
    <t>APP-019</t>
  </si>
  <si>
    <t>Quantic - Quantitative Developer Intern (Summer 2027)</t>
  </si>
  <si>
    <t>https://job-boards.greenhouse.io/walleyecapital-external-students/jobs/4679168006</t>
  </si>
  <si>
    <t>Quantitative development, Python/C++, data pipelines, ML/deep learning familiarity</t>
  </si>
  <si>
    <t>Boston-based with strong data-pipeline and quantitative-infra component.</t>
  </si>
  <si>
    <t>Quant/SWE + Systems</t>
  </si>
  <si>
    <t>APP-021</t>
  </si>
  <si>
    <t>Quant Developer / Trading SWE</t>
  </si>
  <si>
    <t>Quant Developer / Trading SWE Intern</t>
  </si>
  <si>
    <t>Quant dev, Python/C++, research tools, ML/deep learning familiarity, systems</t>
  </si>
  <si>
    <t>Best current Boston quant-dev opening for your profile.</t>
  </si>
  <si>
    <t>APP-024</t>
  </si>
  <si>
    <t>w</t>
  </si>
  <si>
    <t>Software development, algorithms, backend, trading technology, systems</t>
  </si>
  <si>
    <t>Excellent entry point into high-TC finance software.</t>
  </si>
  <si>
    <t>APP-002</t>
  </si>
  <si>
    <t>High</t>
  </si>
  <si>
    <t>Salesforce</t>
  </si>
  <si>
    <t>Summer 2027 Intern - Software Engineer</t>
  </si>
  <si>
    <t>Burlington, MA / New York, NY / SF / Palo Alto / Seattle / Bellevue / Atlanta / Indianapolis</t>
  </si>
  <si>
    <t>Boston/East Coast + National</t>
  </si>
  <si>
    <t>Boston-area option</t>
  </si>
  <si>
    <t>Closed/Expired</t>
  </si>
  <si>
    <t>Official/partner snippets: roughly $43-$52/hr; mirrors show location-dependent equivalents</t>
  </si>
  <si>
    <t>Needs live verification; some snippets reference May 31, 2026 accelerator deadline</t>
  </si>
  <si>
    <t>Needs verification</t>
  </si>
  <si>
    <t>https://careers.salesforce.com/en/jobs/jr340771/summer-2027-intern-software-engineer/</t>
  </si>
  <si>
    <t>SWE, AI-first mindset, full-stack, enterprise software, backend/platform</t>
  </si>
  <si>
    <t>Strong broad SWE/AI-first role with Burlington/NY location options; verify before investing time.</t>
  </si>
  <si>
    <t>SWE/Backend + AI</t>
  </si>
  <si>
    <t>APP-003</t>
  </si>
  <si>
    <t>Apple</t>
  </si>
  <si>
    <t>Machine Learning and Artificial Intelligence Undergrad Internships</t>
  </si>
  <si>
    <t>Various locations within United States</t>
  </si>
  <si>
    <t>National</t>
  </si>
  <si>
    <t>Relocation likely</t>
  </si>
  <si>
    <t>Unspecified; active general undergrad internship funnel</t>
  </si>
  <si>
    <t>Likely open/funnel</t>
  </si>
  <si>
    <t>https://jobs.apple.com/en-us/details/200664780-3810/machine-learning-and-artificial-intelligence-undergrad-internships?team=STDNT</t>
  </si>
  <si>
    <t>ML, AI, applied ML, computer vision, systems, product engineering</t>
  </si>
  <si>
    <t>Strong undergrad AIML funnel; useful for both AI-product and ML/CV positioning.</t>
  </si>
  <si>
    <t>AI/ML Research + Engineering</t>
  </si>
  <si>
    <t>APP-007</t>
  </si>
  <si>
    <t>Technology Intern (Summer 2027)</t>
  </si>
  <si>
    <t>https://job-boards.greenhouse.io/walleyecapital-external-students/jobs/4681002006</t>
  </si>
  <si>
    <t>Infrastructure, software systems, quantitative tools, AI-assisted workflows</t>
  </si>
  <si>
    <t>Strong generalist technology role with platform/infrastructure and quantitative-adjacent engineering.</t>
  </si>
  <si>
    <t>APP-008</t>
  </si>
  <si>
    <t>Risk Technology Analyst Intern (Summer 2027)</t>
  </si>
  <si>
    <t>https://job-boards.greenhouse.io/walleyecapital-external-students/jobs/4679224006</t>
  </si>
  <si>
    <t>Pipelines, dashboards, risk systems, reporting automation, SQL/Python</t>
  </si>
  <si>
    <t>Good bridge between infrastructure, analytics, and production data systems.</t>
  </si>
  <si>
    <t>APP-010</t>
  </si>
  <si>
    <t>Platform, enterprise backend, AI-first software, full-stack systems</t>
  </si>
  <si>
    <t>Broad platform/SWE opening with AI-first environment and East Coast location options.</t>
  </si>
  <si>
    <t>APP-013</t>
  </si>
  <si>
    <t>Aquatic Capital Management</t>
  </si>
  <si>
    <t>Software Engineer, Intern (Summer 2027)</t>
  </si>
  <si>
    <t>Chicago, IL</t>
  </si>
  <si>
    <t>Midwest</t>
  </si>
  <si>
    <t>https://job-boards.greenhouse.io/aquaticcapitalmanagement/jobs/8489233002</t>
  </si>
  <si>
    <t>Distributed systems, performance, Python/C++, trading infrastructure</t>
  </si>
  <si>
    <t>Strong systems-heavy trading-infrastructure SWE role.</t>
  </si>
  <si>
    <t>APP-014</t>
  </si>
  <si>
    <t>AQR</t>
  </si>
  <si>
    <t>2027 Engineering Summer Analyst</t>
  </si>
  <si>
    <t>Greenwich, CT</t>
  </si>
  <si>
    <t>Connecticut / NYC area</t>
  </si>
  <si>
    <t>https://careers.aqr.com/jobs/open-positions/greenwich-ct/2027-engineering-summer-analyst/7926647</t>
  </si>
  <si>
    <t>Engineering, backend, data systems, investment technology</t>
  </si>
  <si>
    <t>Good East Coast backend/software route with hedge-fund upside.</t>
  </si>
  <si>
    <t>SWE/Backend + Data Systems</t>
  </si>
  <si>
    <t>APP-015</t>
  </si>
  <si>
    <t>2027 Front Office Development Engineering Summer Analyst</t>
  </si>
  <si>
    <t>https://careers.aqr.com/jobs/open-positions/greenwich-ct/2027-front-office-development-engineering-summer-analyst/7957728</t>
  </si>
  <si>
    <t>Front-office systems, ingestion, validation, backtesters, platform services</t>
  </si>
  <si>
    <t>Explicit data/platform/backend scope around ingestion, orders, and backtesters.</t>
  </si>
  <si>
    <t>APP-020</t>
  </si>
  <si>
    <t>Data ingestion, validation, front-office systems, backtesters, platform services</t>
  </si>
  <si>
    <t>Explicit data ingestion/validation and platform-service work.</t>
  </si>
  <si>
    <t>APP-022</t>
  </si>
  <si>
    <t>Volatility Trading Developer Intern (Summer 2027)</t>
  </si>
  <si>
    <t>Unspecified in surfaced snippet</t>
  </si>
  <si>
    <t>https://job-boards.greenhouse.io/walleyecapital-external-students/jobs/4679434006</t>
  </si>
  <si>
    <t>Trading systems, risk, P&amp;L, operations, execution, monitoring, reliability</t>
  </si>
  <si>
    <t>More directly trading-facing than Quantic; good if targeting execution systems.</t>
  </si>
  <si>
    <t>APP-023</t>
  </si>
  <si>
    <t>Point72 Cubist</t>
  </si>
  <si>
    <t>Summer 2027 Quantitative Developer Internship</t>
  </si>
  <si>
    <t>$240,000-$300,000 annualized base, prorated for internship term</t>
  </si>
  <si>
    <t>https://job-boards.greenhouse.io/point72/jobs/7297613002</t>
  </si>
  <si>
    <t>Quant developer, Linux, statistics/probability, Python/C++, trading systems</t>
  </si>
  <si>
    <t>Very high compensation; best if you sharpen Linux + probability/statistics.</t>
  </si>
  <si>
    <t>APP-025</t>
  </si>
  <si>
    <t>High-performance distributed systems, research/trading platform, Python/C++</t>
  </si>
  <si>
    <t>Strong low-latency/distributed-systems flavored option.</t>
  </si>
  <si>
    <t>APP-026</t>
  </si>
  <si>
    <t>Computer Vision / Multimodal ML</t>
  </si>
  <si>
    <t>Computer Vision / Multimodal ML Intern</t>
  </si>
  <si>
    <t>ML, AI, computer vision, multimodal ML, applied research</t>
  </si>
  <si>
    <t>Best currently realistic big-tech CV/multimodal-style funnel for undergrad profile.</t>
  </si>
  <si>
    <t>CV/ML Research</t>
  </si>
  <si>
    <t>Summer 2027 Internship Tracker — Dashboard</t>
  </si>
  <si>
    <t>Total tracked roles</t>
  </si>
  <si>
    <t>Count</t>
  </si>
  <si>
    <t>Average match score</t>
  </si>
  <si>
    <t>Boston roles</t>
  </si>
  <si>
    <t>Applying</t>
  </si>
  <si>
    <t>East Coast/Boston roles</t>
  </si>
  <si>
    <t>Very high priority roles</t>
  </si>
  <si>
    <t>Referred</t>
  </si>
  <si>
    <t>Not started</t>
  </si>
  <si>
    <t>OA Received</t>
  </si>
  <si>
    <t>OA Completed</t>
  </si>
  <si>
    <t>Recruiter Screen</t>
  </si>
  <si>
    <t>Avg Match</t>
  </si>
  <si>
    <t>East Coast/Boston</t>
  </si>
  <si>
    <t>Technical Interview</t>
  </si>
  <si>
    <t>Final Round</t>
  </si>
  <si>
    <t>Offer</t>
  </si>
  <si>
    <t>Rejected</t>
  </si>
  <si>
    <t>Withdrawn</t>
  </si>
  <si>
    <t>Operating rhythm: sort Applications by Match Score descending, then East Coast/Boston Flag, then Deadline Date. Rows marked Benchmark only or Needs verification should be checked before applying.</t>
  </si>
  <si>
    <t>Positive response</t>
  </si>
  <si>
    <t>OA</t>
  </si>
  <si>
    <t>Offer pending</t>
  </si>
  <si>
    <t>Medium</t>
  </si>
  <si>
    <t>Recruiter screen</t>
  </si>
  <si>
    <t>Offer received</t>
  </si>
  <si>
    <t>Benchmark only</t>
  </si>
  <si>
    <t>PhD-only benchmark</t>
  </si>
  <si>
    <t>Low</t>
  </si>
  <si>
    <t>Follow-up needed</t>
  </si>
  <si>
    <t>Technical 1</t>
  </si>
  <si>
    <t>Accepted</t>
  </si>
  <si>
    <t>Verify</t>
  </si>
  <si>
    <t>Benchmark</t>
  </si>
  <si>
    <t>Waiting</t>
  </si>
  <si>
    <t>Technical 2</t>
  </si>
  <si>
    <t>Declined</t>
  </si>
  <si>
    <t>New search needed</t>
  </si>
  <si>
    <t>Closed</t>
  </si>
  <si>
    <t>Final</t>
  </si>
  <si>
    <t>Team match</t>
  </si>
  <si>
    <t>Offer call</t>
  </si>
  <si>
    <t>Field</t>
  </si>
  <si>
    <t>Explanation</t>
  </si>
  <si>
    <t>Workbook purpose</t>
  </si>
  <si>
    <t>Track Summer 2027 internship applications across six target role categories.</t>
  </si>
  <si>
    <t>Primary sheet</t>
  </si>
  <si>
    <t>Applications: sortable master table with direct application/source links and application-status fields.</t>
  </si>
  <si>
    <t>Dashboard</t>
  </si>
  <si>
    <t>Formula-driven category counts, match summaries, location counts, and status counts.</t>
  </si>
  <si>
    <t>Lists</t>
  </si>
  <si>
    <t>Dropdown values for Priority, Status, Response, Interview Stage, Offer Status, Open Status, Degree Fit, and Resume Variant.</t>
  </si>
  <si>
    <t>Important limitation</t>
  </si>
  <si>
    <t>Summer 2027 market is still early. Rows marked Benchmark only or Needs verification should be checked before applying.</t>
  </si>
  <si>
    <t>Best sorting order</t>
  </si>
  <si>
    <t>Match Score descending, East Coast/Boston Flag, Deadline Date ascending, Priority.</t>
  </si>
  <si>
    <t>Recommended resume variants</t>
  </si>
  <si>
    <t>SWE/Backend + Infrastructure, AI/ML Product + Full-Stack, Data/ML Systems, Quant/SWE + Systems, CV/ML Research.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</si>
</sst>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yyyy-mm-dd"/>
    <numFmt numFmtId="165" formatCode="0.0"/>
  </numFmts>
  <fonts count="13">
    <font>
      <sz val="11.0"/>
      <color rgb="FF000000"/>
      <name val="Carlito"/>
      <scheme val="minor"/>
    </font>
    <font>
      <b/>
      <sz val="10.0"/>
      <color rgb="FFFFFFFF"/>
      <name val="Aptos"/>
    </font>
    <font>
      <b/>
      <sz val="10.0"/>
      <color rgb="FFFFFFFF"/>
      <name val="Arial"/>
    </font>
    <font>
      <sz val="10.0"/>
      <color theme="1"/>
      <name val="Aptos"/>
    </font>
    <font>
      <sz val="10.0"/>
      <color theme="1"/>
      <name val="Arial"/>
    </font>
    <font>
      <u/>
      <sz val="10.0"/>
      <color rgb="FF0000FF"/>
      <name val="Arial"/>
    </font>
    <font>
      <u/>
      <sz val="10.0"/>
      <color rgb="FF0000FF"/>
      <name val="Arial"/>
    </font>
    <font>
      <b/>
      <sz val="16.0"/>
      <color rgb="FFFFFFFF"/>
      <name val="Aptos"/>
    </font>
    <font>
      <b/>
      <sz val="11.0"/>
      <color theme="1"/>
      <name val="Carlito"/>
    </font>
    <font>
      <b/>
      <sz val="11.0"/>
      <color rgb="FFFFFFFF"/>
      <name val="Carlito"/>
    </font>
    <font>
      <color theme="1"/>
      <name val="Carlito"/>
      <scheme val="minor"/>
    </font>
    <font>
      <sz val="11.0"/>
      <color theme="1"/>
      <name val="Carlito"/>
    </font>
    <font>
      <i/>
      <sz val="11.0"/>
      <color theme="1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FFF2CC"/>
        <bgColor rgb="FFFFF2CC"/>
      </patternFill>
    </fill>
  </fills>
  <borders count="1">
    <border/>
  </borders>
  <cellStyleXfs count="1">
    <xf borderId="0" fillId="0" fontId="0" numFmtId="0" applyAlignment="1" applyFont="1"/>
  </cellStyleXfs>
  <cellXfs count="2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2" fontId="2" numFmtId="0" xfId="0" applyAlignment="1" applyFont="1">
      <alignment horizontal="center" readingOrder="0" shrinkToFit="0" vertical="center" wrapText="1"/>
    </xf>
    <xf borderId="0" fillId="0" fontId="3" numFmtId="0" xfId="0" applyAlignment="1" applyFont="1">
      <alignment shrinkToFit="0" vertical="top" wrapText="1"/>
    </xf>
    <xf borderId="0" fillId="0" fontId="3" numFmtId="164" xfId="0" applyAlignment="1" applyFont="1" applyNumberFormat="1">
      <alignment shrinkToFit="0" vertical="top" wrapText="1"/>
    </xf>
    <xf borderId="0" fillId="0" fontId="3" numFmtId="49" xfId="0" applyAlignment="1" applyFont="1" applyNumberFormat="1">
      <alignment shrinkToFit="0" vertical="top" wrapText="1"/>
    </xf>
    <xf borderId="0" fillId="0" fontId="4" numFmtId="0" xfId="0" applyAlignment="1" applyFont="1">
      <alignment readingOrder="0" shrinkToFit="0" vertical="top" wrapText="1"/>
    </xf>
    <xf borderId="0" fillId="0" fontId="4" numFmtId="164" xfId="0" applyAlignment="1" applyFont="1" applyNumberFormat="1">
      <alignment readingOrder="0" shrinkToFit="0" vertical="top" wrapText="1"/>
    </xf>
    <xf borderId="0" fillId="0" fontId="3" numFmtId="14" xfId="0" applyAlignment="1" applyFont="1" applyNumberFormat="1">
      <alignment shrinkToFit="0" vertical="top" wrapText="1"/>
    </xf>
    <xf borderId="0" fillId="0" fontId="5" numFmtId="0" xfId="0" applyAlignment="1" applyFont="1">
      <alignment readingOrder="0" shrinkToFit="0" vertical="top" wrapText="1"/>
    </xf>
    <xf borderId="0" fillId="0" fontId="6" numFmtId="0" xfId="0" applyAlignment="1" applyFont="1">
      <alignment readingOrder="0" shrinkToFit="0" vertical="top" wrapText="1"/>
    </xf>
    <xf borderId="0" fillId="2" fontId="7" numFmtId="0" xfId="0" applyAlignment="1" applyFont="1">
      <alignment horizontal="center" vertical="center"/>
    </xf>
    <xf borderId="0" fillId="3" fontId="8" numFmtId="0" xfId="0" applyAlignment="1" applyFill="1" applyFont="1">
      <alignment shrinkToFit="0" wrapText="1"/>
    </xf>
    <xf borderId="0" fillId="0" fontId="8" numFmtId="0" xfId="0" applyAlignment="1" applyFont="1">
      <alignment horizontal="center"/>
    </xf>
    <xf borderId="0" fillId="2" fontId="9" numFmtId="0" xfId="0" applyAlignment="1" applyFont="1">
      <alignment horizontal="center"/>
    </xf>
    <xf borderId="0" fillId="0" fontId="8" numFmtId="165" xfId="0" applyAlignment="1" applyFont="1" applyNumberFormat="1">
      <alignment horizontal="center"/>
    </xf>
    <xf borderId="0" fillId="0" fontId="10" numFmtId="0" xfId="0" applyFont="1"/>
    <xf borderId="0" fillId="2" fontId="9" numFmtId="0" xfId="0" applyAlignment="1" applyFont="1">
      <alignment horizontal="center" shrinkToFit="0" wrapText="1"/>
    </xf>
    <xf borderId="0" fillId="0" fontId="11" numFmtId="0" xfId="0" applyAlignment="1" applyFont="1">
      <alignment shrinkToFit="0" wrapText="1"/>
    </xf>
    <xf borderId="0" fillId="0" fontId="11" numFmtId="0" xfId="0" applyAlignment="1" applyFont="1">
      <alignment horizontal="center" shrinkToFit="0" wrapText="1"/>
    </xf>
    <xf borderId="0" fillId="0" fontId="11" numFmtId="165" xfId="0" applyAlignment="1" applyFont="1" applyNumberFormat="1">
      <alignment horizontal="center" shrinkToFit="0" wrapText="1"/>
    </xf>
    <xf borderId="0" fillId="4" fontId="12" numFmtId="0" xfId="0" applyAlignment="1" applyFill="1" applyFont="1">
      <alignment shrinkToFit="0" vertical="top" wrapText="1"/>
    </xf>
    <xf borderId="0" fillId="0" fontId="11" numFmtId="0" xfId="0" applyAlignment="1" applyFont="1">
      <alignment shrinkToFit="0" vertical="top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B7E1CD"/>
          <bgColor rgb="FFB7E1CD"/>
        </patternFill>
      </fill>
      <border/>
    </dxf>
  </dxfs>
  <tableStyles count="1">
    <tableStyle count="3" pivot="0" name="Application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AE23" displayName="Table_1" name="Table_1" id="1">
  <tableColumns count="31">
    <tableColumn name="ID" id="1"/>
    <tableColumn name="Category Rank" id="2"/>
    <tableColumn name="Category" id="3"/>
    <tableColumn name="Role Bucket" id="4"/>
    <tableColumn name="Priority" id="5"/>
    <tableColumn name="Match Score" id="6"/>
    <tableColumn name="Company" id="7"/>
    <tableColumn name="Exact Job Title" id="8"/>
    <tableColumn name="Location" id="9"/>
    <tableColumn name="Region" id="10"/>
    <tableColumn name="East Coast/Boston Flag" id="11"/>
    <tableColumn name="Status" id="12"/>
    <tableColumn name="Date Applied" id="13"/>
    <tableColumn name="Pay / Compensation" id="14"/>
    <tableColumn name="Deadline Date" id="15"/>
    <tableColumn name="Deadline Notes" id="16"/>
    <tableColumn name="Days to Deadline" id="17"/>
    <tableColumn name="Open Status" id="18"/>
    <tableColumn name="Degree Level Fit" id="19"/>
    <tableColumn name="Application Link" id="20"/>
    <tableColumn name="Source URL" id="21"/>
    <tableColumn name="Relevant Skills / Keywords" id="22"/>
    <tableColumn name="Why It Fits" id="23"/>
    <tableColumn name="Resume Variant" id="24"/>
    <tableColumn name="Response / Outcome" id="25"/>
    <tableColumn name="Interview Stage" id="26"/>
    <tableColumn name="Offer Status" id="27"/>
    <tableColumn name="Follow-up Date" id="28"/>
    <tableColumn name="Referral Contact" id="29"/>
    <tableColumn name="Next Action" id="30"/>
    <tableColumn name="Notes" id="31"/>
  </tableColumns>
  <tableStyleInfo name="Application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job-boards.greenhouse.io/walleyecapital-external-students/jobs/4676587006" TargetMode="External"/><Relationship Id="rId2" Type="http://schemas.openxmlformats.org/officeDocument/2006/relationships/hyperlink" Target="https://job-boards.greenhouse.io/walleyecapital-external-students/jobs/4679168006" TargetMode="External"/><Relationship Id="rId3" Type="http://schemas.openxmlformats.org/officeDocument/2006/relationships/hyperlink" Target="https://careers.salesforce.com/en/jobs/jr340771/summer-2027-intern-software-engineer/" TargetMode="External"/><Relationship Id="rId4" Type="http://schemas.openxmlformats.org/officeDocument/2006/relationships/hyperlink" Target="https://jobs.apple.com/en-us/details/200664780-3810/machine-learning-and-artificial-intelligence-undergrad-internships?team=STDNT" TargetMode="External"/><Relationship Id="rId10" Type="http://schemas.openxmlformats.org/officeDocument/2006/relationships/table" Target="../tables/table1.xml"/><Relationship Id="rId5" Type="http://schemas.openxmlformats.org/officeDocument/2006/relationships/hyperlink" Target="https://job-boards.greenhouse.io/walleyecapital-external-students/jobs/4679224006" TargetMode="External"/><Relationship Id="rId6" Type="http://schemas.openxmlformats.org/officeDocument/2006/relationships/hyperlink" Target="https://job-boards.greenhouse.io/point72/jobs/7297613002" TargetMode="External"/><Relationship Id="rId7" Type="http://schemas.openxmlformats.org/officeDocument/2006/relationships/hyperlink" Target="https://jobs.apple.com/en-us/details/200664780-3810/machine-learning-and-artificial-intelligence-undergrad-internships?team=STDNT" TargetMode="External"/><Relationship Id="rId8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63"/>
    <col customWidth="1" min="2" max="2" width="8.25"/>
    <col customWidth="1" min="3" max="3" width="28.5"/>
    <col customWidth="1" min="4" max="4" width="30.25"/>
    <col customWidth="1" min="5" max="5" width="12.0"/>
    <col customWidth="1" min="6" max="6" width="5.88"/>
    <col customWidth="1" min="7" max="7" width="12.5"/>
    <col customWidth="1" min="8" max="8" width="44.0"/>
    <col customWidth="1" min="9" max="9" width="30.5"/>
    <col customWidth="1" min="10" max="10" width="18.5"/>
    <col customWidth="1" min="11" max="11" width="19.75"/>
    <col customWidth="1" min="12" max="12" width="12.0"/>
    <col customWidth="1" min="13" max="13" width="11.25"/>
    <col customWidth="1" min="14" max="14" width="39.88"/>
    <col customWidth="1" min="15" max="15" width="12.0"/>
    <col customWidth="1" min="16" max="16" width="34.13"/>
    <col customWidth="1" min="17" max="17" width="9.38"/>
    <col customWidth="1" min="18" max="18" width="17.0"/>
    <col customWidth="1" min="19" max="19" width="19.5"/>
    <col customWidth="1" min="20" max="21" width="44.0"/>
    <col customWidth="1" min="22" max="22" width="42.13"/>
    <col customWidth="1" min="23" max="23" width="48.0"/>
    <col customWidth="1" min="24" max="24" width="26.0"/>
    <col customWidth="1" min="25" max="25" width="17.63"/>
    <col customWidth="1" min="26" max="26" width="13.25"/>
    <col customWidth="1" min="27" max="27" width="10.63"/>
    <col customWidth="1" min="28" max="28" width="13.0"/>
    <col customWidth="1" min="29" max="29" width="14.0"/>
    <col customWidth="1" min="30" max="30" width="24.38"/>
    <col customWidth="1" min="31" max="31" width="5.63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2" t="s">
        <v>29</v>
      </c>
      <c r="AE1" s="1" t="s">
        <v>30</v>
      </c>
    </row>
    <row r="2">
      <c r="A2" s="3" t="s">
        <v>31</v>
      </c>
      <c r="B2" s="3">
        <v>1.0</v>
      </c>
      <c r="C2" s="3" t="s">
        <v>32</v>
      </c>
      <c r="D2" s="3" t="s">
        <v>33</v>
      </c>
      <c r="E2" s="3" t="s">
        <v>34</v>
      </c>
      <c r="F2" s="3">
        <v>5.0</v>
      </c>
      <c r="G2" s="3" t="s">
        <v>35</v>
      </c>
      <c r="H2" s="3" t="s">
        <v>36</v>
      </c>
      <c r="I2" s="3" t="s">
        <v>37</v>
      </c>
      <c r="J2" s="3" t="s">
        <v>38</v>
      </c>
      <c r="K2" s="3" t="s">
        <v>39</v>
      </c>
      <c r="L2" s="3" t="s">
        <v>40</v>
      </c>
      <c r="M2" s="4"/>
      <c r="N2" s="3" t="s">
        <v>41</v>
      </c>
      <c r="O2" s="5"/>
      <c r="P2" s="3" t="s">
        <v>42</v>
      </c>
      <c r="Q2" s="3" t="str">
        <f t="shared" ref="Q2:Q23" si="1">IF(O2="","",DATEVALUE(O2)-TODAY())</f>
        <v/>
      </c>
      <c r="R2" s="3" t="s">
        <v>43</v>
      </c>
      <c r="S2" s="3" t="s">
        <v>44</v>
      </c>
      <c r="T2" s="3" t="s">
        <v>45</v>
      </c>
      <c r="U2" s="3" t="s">
        <v>45</v>
      </c>
      <c r="V2" s="3" t="s">
        <v>46</v>
      </c>
      <c r="W2" s="3" t="s">
        <v>47</v>
      </c>
      <c r="X2" s="3" t="s">
        <v>48</v>
      </c>
      <c r="Y2" s="3" t="s">
        <v>49</v>
      </c>
      <c r="Z2" s="3" t="s">
        <v>50</v>
      </c>
      <c r="AA2" s="3" t="s">
        <v>50</v>
      </c>
      <c r="AB2" s="4"/>
      <c r="AC2" s="3"/>
      <c r="AD2" s="3" t="s">
        <v>51</v>
      </c>
      <c r="AE2" s="3"/>
    </row>
    <row r="3">
      <c r="A3" s="3" t="s">
        <v>52</v>
      </c>
      <c r="B3" s="3">
        <v>1.0</v>
      </c>
      <c r="C3" s="3" t="s">
        <v>32</v>
      </c>
      <c r="D3" s="3" t="s">
        <v>33</v>
      </c>
      <c r="E3" s="3" t="s">
        <v>34</v>
      </c>
      <c r="F3" s="3">
        <v>5.0</v>
      </c>
      <c r="G3" s="3" t="s">
        <v>53</v>
      </c>
      <c r="H3" s="3" t="s">
        <v>54</v>
      </c>
      <c r="I3" s="3" t="s">
        <v>55</v>
      </c>
      <c r="J3" s="3" t="s">
        <v>56</v>
      </c>
      <c r="K3" s="3" t="s">
        <v>56</v>
      </c>
      <c r="L3" s="6" t="s">
        <v>57</v>
      </c>
      <c r="M3" s="7">
        <v>46185.0</v>
      </c>
      <c r="N3" s="3" t="s">
        <v>58</v>
      </c>
      <c r="O3" s="5" t="s">
        <v>59</v>
      </c>
      <c r="P3" s="3" t="s">
        <v>60</v>
      </c>
      <c r="Q3" s="8">
        <f t="shared" si="1"/>
        <v>43</v>
      </c>
      <c r="R3" s="3" t="s">
        <v>43</v>
      </c>
      <c r="S3" s="3" t="s">
        <v>61</v>
      </c>
      <c r="T3" s="3" t="s">
        <v>62</v>
      </c>
      <c r="U3" s="3" t="s">
        <v>62</v>
      </c>
      <c r="V3" s="3" t="s">
        <v>63</v>
      </c>
      <c r="W3" s="3" t="s">
        <v>64</v>
      </c>
      <c r="X3" s="3" t="s">
        <v>65</v>
      </c>
      <c r="Y3" s="3" t="s">
        <v>49</v>
      </c>
      <c r="Z3" s="3" t="s">
        <v>50</v>
      </c>
      <c r="AA3" s="3" t="s">
        <v>50</v>
      </c>
      <c r="AB3" s="4"/>
      <c r="AC3" s="3"/>
      <c r="AD3" s="3" t="s">
        <v>51</v>
      </c>
      <c r="AE3" s="3"/>
    </row>
    <row r="4">
      <c r="A4" s="3" t="s">
        <v>66</v>
      </c>
      <c r="B4" s="3">
        <v>2.0</v>
      </c>
      <c r="C4" s="3" t="s">
        <v>67</v>
      </c>
      <c r="D4" s="3" t="s">
        <v>68</v>
      </c>
      <c r="E4" s="3" t="s">
        <v>34</v>
      </c>
      <c r="F4" s="3">
        <v>5.0</v>
      </c>
      <c r="G4" s="3" t="s">
        <v>69</v>
      </c>
      <c r="H4" s="3" t="s">
        <v>70</v>
      </c>
      <c r="I4" s="3" t="s">
        <v>71</v>
      </c>
      <c r="J4" s="3" t="s">
        <v>72</v>
      </c>
      <c r="K4" s="3" t="s">
        <v>73</v>
      </c>
      <c r="L4" s="6" t="s">
        <v>57</v>
      </c>
      <c r="M4" s="7">
        <v>46190.0</v>
      </c>
      <c r="N4" s="3" t="s">
        <v>74</v>
      </c>
      <c r="O4" s="5"/>
      <c r="P4" s="3" t="s">
        <v>42</v>
      </c>
      <c r="Q4" s="3" t="str">
        <f t="shared" si="1"/>
        <v/>
      </c>
      <c r="R4" s="3" t="s">
        <v>43</v>
      </c>
      <c r="S4" s="3" t="s">
        <v>61</v>
      </c>
      <c r="T4" s="3" t="s">
        <v>75</v>
      </c>
      <c r="U4" s="3" t="s">
        <v>75</v>
      </c>
      <c r="V4" s="3" t="s">
        <v>76</v>
      </c>
      <c r="W4" s="3" t="s">
        <v>77</v>
      </c>
      <c r="X4" s="3" t="s">
        <v>78</v>
      </c>
      <c r="Y4" s="3" t="s">
        <v>49</v>
      </c>
      <c r="Z4" s="3" t="s">
        <v>50</v>
      </c>
      <c r="AA4" s="3" t="s">
        <v>50</v>
      </c>
      <c r="AB4" s="4"/>
      <c r="AC4" s="3"/>
      <c r="AD4" s="3" t="s">
        <v>51</v>
      </c>
      <c r="AE4" s="3"/>
    </row>
    <row r="5">
      <c r="A5" s="3" t="s">
        <v>79</v>
      </c>
      <c r="B5" s="3">
        <v>3.0</v>
      </c>
      <c r="C5" s="3" t="s">
        <v>80</v>
      </c>
      <c r="D5" s="3" t="s">
        <v>81</v>
      </c>
      <c r="E5" s="3" t="s">
        <v>34</v>
      </c>
      <c r="F5" s="3">
        <v>5.0</v>
      </c>
      <c r="G5" s="3" t="s">
        <v>69</v>
      </c>
      <c r="H5" s="3" t="s">
        <v>70</v>
      </c>
      <c r="I5" s="3" t="s">
        <v>71</v>
      </c>
      <c r="J5" s="3" t="s">
        <v>72</v>
      </c>
      <c r="K5" s="3" t="s">
        <v>73</v>
      </c>
      <c r="L5" s="6" t="s">
        <v>57</v>
      </c>
      <c r="M5" s="7">
        <v>46190.0</v>
      </c>
      <c r="N5" s="3" t="s">
        <v>74</v>
      </c>
      <c r="O5" s="5"/>
      <c r="P5" s="3" t="s">
        <v>42</v>
      </c>
      <c r="Q5" s="3" t="str">
        <f t="shared" si="1"/>
        <v/>
      </c>
      <c r="R5" s="3" t="s">
        <v>43</v>
      </c>
      <c r="S5" s="3" t="s">
        <v>61</v>
      </c>
      <c r="T5" s="3" t="s">
        <v>75</v>
      </c>
      <c r="U5" s="3" t="s">
        <v>75</v>
      </c>
      <c r="V5" s="3" t="s">
        <v>82</v>
      </c>
      <c r="W5" s="3" t="s">
        <v>83</v>
      </c>
      <c r="X5" s="3" t="s">
        <v>78</v>
      </c>
      <c r="Y5" s="3" t="s">
        <v>49</v>
      </c>
      <c r="Z5" s="3" t="s">
        <v>50</v>
      </c>
      <c r="AA5" s="3" t="s">
        <v>50</v>
      </c>
      <c r="AB5" s="4"/>
      <c r="AC5" s="3"/>
      <c r="AD5" s="3" t="s">
        <v>51</v>
      </c>
      <c r="AE5" s="3"/>
    </row>
    <row r="6">
      <c r="A6" s="3" t="s">
        <v>84</v>
      </c>
      <c r="B6" s="3">
        <v>3.0</v>
      </c>
      <c r="C6" s="3" t="s">
        <v>80</v>
      </c>
      <c r="D6" s="3" t="s">
        <v>81</v>
      </c>
      <c r="E6" s="3" t="s">
        <v>34</v>
      </c>
      <c r="F6" s="3">
        <v>5.0</v>
      </c>
      <c r="G6" s="3" t="s">
        <v>69</v>
      </c>
      <c r="H6" s="3" t="s">
        <v>85</v>
      </c>
      <c r="I6" s="3" t="s">
        <v>71</v>
      </c>
      <c r="J6" s="3" t="s">
        <v>72</v>
      </c>
      <c r="K6" s="3" t="s">
        <v>73</v>
      </c>
      <c r="L6" s="6" t="s">
        <v>57</v>
      </c>
      <c r="M6" s="7">
        <v>46190.0</v>
      </c>
      <c r="N6" s="3" t="s">
        <v>86</v>
      </c>
      <c r="O6" s="5"/>
      <c r="P6" s="3" t="s">
        <v>42</v>
      </c>
      <c r="Q6" s="3" t="str">
        <f t="shared" si="1"/>
        <v/>
      </c>
      <c r="R6" s="3" t="s">
        <v>43</v>
      </c>
      <c r="S6" s="3" t="s">
        <v>61</v>
      </c>
      <c r="T6" s="3" t="s">
        <v>87</v>
      </c>
      <c r="U6" s="3" t="s">
        <v>87</v>
      </c>
      <c r="V6" s="3" t="s">
        <v>88</v>
      </c>
      <c r="W6" s="3" t="s">
        <v>89</v>
      </c>
      <c r="X6" s="3" t="s">
        <v>78</v>
      </c>
      <c r="Y6" s="3" t="s">
        <v>49</v>
      </c>
      <c r="Z6" s="3" t="s">
        <v>50</v>
      </c>
      <c r="AA6" s="3" t="s">
        <v>50</v>
      </c>
      <c r="AB6" s="4"/>
      <c r="AC6" s="3"/>
      <c r="AD6" s="3" t="s">
        <v>51</v>
      </c>
      <c r="AE6" s="3"/>
    </row>
    <row r="7">
      <c r="A7" s="3" t="s">
        <v>90</v>
      </c>
      <c r="B7" s="3">
        <v>4.0</v>
      </c>
      <c r="C7" s="3" t="s">
        <v>91</v>
      </c>
      <c r="D7" s="3" t="s">
        <v>92</v>
      </c>
      <c r="E7" s="3" t="s">
        <v>34</v>
      </c>
      <c r="F7" s="3">
        <v>5.0</v>
      </c>
      <c r="G7" s="3" t="s">
        <v>53</v>
      </c>
      <c r="H7" s="3" t="s">
        <v>93</v>
      </c>
      <c r="I7" s="3" t="s">
        <v>71</v>
      </c>
      <c r="J7" s="3" t="s">
        <v>72</v>
      </c>
      <c r="K7" s="3" t="s">
        <v>73</v>
      </c>
      <c r="L7" s="6" t="s">
        <v>57</v>
      </c>
      <c r="M7" s="7">
        <v>46191.0</v>
      </c>
      <c r="N7" s="3" t="s">
        <v>94</v>
      </c>
      <c r="O7" s="5" t="s">
        <v>59</v>
      </c>
      <c r="P7" s="3" t="s">
        <v>60</v>
      </c>
      <c r="Q7" s="8">
        <f t="shared" si="1"/>
        <v>43</v>
      </c>
      <c r="R7" s="3" t="s">
        <v>43</v>
      </c>
      <c r="S7" s="3" t="s">
        <v>61</v>
      </c>
      <c r="T7" s="9" t="s">
        <v>95</v>
      </c>
      <c r="U7" s="3" t="s">
        <v>95</v>
      </c>
      <c r="V7" s="3" t="s">
        <v>96</v>
      </c>
      <c r="W7" s="3" t="s">
        <v>97</v>
      </c>
      <c r="X7" s="3" t="s">
        <v>98</v>
      </c>
      <c r="Y7" s="3" t="s">
        <v>49</v>
      </c>
      <c r="Z7" s="3" t="s">
        <v>50</v>
      </c>
      <c r="AA7" s="3" t="s">
        <v>50</v>
      </c>
      <c r="AB7" s="4"/>
      <c r="AC7" s="3"/>
      <c r="AD7" s="3" t="s">
        <v>51</v>
      </c>
      <c r="AE7" s="3"/>
    </row>
    <row r="8">
      <c r="A8" s="3" t="s">
        <v>99</v>
      </c>
      <c r="B8" s="3">
        <v>4.0</v>
      </c>
      <c r="C8" s="3" t="s">
        <v>91</v>
      </c>
      <c r="D8" s="3" t="s">
        <v>92</v>
      </c>
      <c r="E8" s="3" t="s">
        <v>34</v>
      </c>
      <c r="F8" s="3">
        <v>5.0</v>
      </c>
      <c r="H8" s="3" t="s">
        <v>100</v>
      </c>
      <c r="I8" s="3" t="s">
        <v>55</v>
      </c>
      <c r="J8" s="3" t="s">
        <v>56</v>
      </c>
      <c r="K8" s="3" t="s">
        <v>56</v>
      </c>
      <c r="L8" s="6" t="s">
        <v>57</v>
      </c>
      <c r="M8" s="7">
        <v>46191.0</v>
      </c>
      <c r="N8" s="3" t="s">
        <v>58</v>
      </c>
      <c r="O8" s="5" t="s">
        <v>59</v>
      </c>
      <c r="P8" s="3" t="s">
        <v>60</v>
      </c>
      <c r="Q8" s="8">
        <f t="shared" si="1"/>
        <v>43</v>
      </c>
      <c r="R8" s="3" t="s">
        <v>43</v>
      </c>
      <c r="S8" s="3" t="s">
        <v>61</v>
      </c>
      <c r="T8" s="10" t="s">
        <v>101</v>
      </c>
      <c r="U8" s="3" t="s">
        <v>101</v>
      </c>
      <c r="V8" s="3" t="s">
        <v>102</v>
      </c>
      <c r="W8" s="3" t="s">
        <v>103</v>
      </c>
      <c r="X8" s="3" t="s">
        <v>104</v>
      </c>
      <c r="Y8" s="3" t="s">
        <v>49</v>
      </c>
      <c r="Z8" s="3" t="s">
        <v>50</v>
      </c>
      <c r="AA8" s="3" t="s">
        <v>50</v>
      </c>
      <c r="AB8" s="4"/>
      <c r="AC8" s="3"/>
      <c r="AD8" s="3" t="s">
        <v>51</v>
      </c>
      <c r="AE8" s="3"/>
    </row>
    <row r="9">
      <c r="A9" s="3" t="s">
        <v>105</v>
      </c>
      <c r="B9" s="3">
        <v>5.0</v>
      </c>
      <c r="C9" s="3" t="s">
        <v>106</v>
      </c>
      <c r="D9" s="3" t="s">
        <v>107</v>
      </c>
      <c r="E9" s="3" t="s">
        <v>34</v>
      </c>
      <c r="F9" s="3">
        <v>5.0</v>
      </c>
      <c r="G9" s="3" t="s">
        <v>53</v>
      </c>
      <c r="H9" s="3" t="s">
        <v>100</v>
      </c>
      <c r="I9" s="3" t="s">
        <v>55</v>
      </c>
      <c r="J9" s="3" t="s">
        <v>56</v>
      </c>
      <c r="K9" s="3" t="s">
        <v>56</v>
      </c>
      <c r="L9" s="6" t="s">
        <v>57</v>
      </c>
      <c r="M9" s="7">
        <v>46191.0</v>
      </c>
      <c r="N9" s="3" t="s">
        <v>58</v>
      </c>
      <c r="O9" s="5" t="s">
        <v>59</v>
      </c>
      <c r="P9" s="3" t="s">
        <v>60</v>
      </c>
      <c r="Q9" s="8">
        <f t="shared" si="1"/>
        <v>43</v>
      </c>
      <c r="R9" s="3" t="s">
        <v>43</v>
      </c>
      <c r="S9" s="3" t="s">
        <v>61</v>
      </c>
      <c r="T9" s="3" t="s">
        <v>101</v>
      </c>
      <c r="U9" s="3" t="s">
        <v>101</v>
      </c>
      <c r="V9" s="3" t="s">
        <v>108</v>
      </c>
      <c r="W9" s="3" t="s">
        <v>109</v>
      </c>
      <c r="X9" s="3" t="s">
        <v>104</v>
      </c>
      <c r="Y9" s="3" t="s">
        <v>49</v>
      </c>
      <c r="Z9" s="3" t="s">
        <v>50</v>
      </c>
      <c r="AA9" s="3" t="s">
        <v>50</v>
      </c>
      <c r="AB9" s="4"/>
      <c r="AC9" s="3"/>
      <c r="AD9" s="3" t="s">
        <v>51</v>
      </c>
      <c r="AE9" s="3"/>
    </row>
    <row r="10">
      <c r="A10" s="3" t="s">
        <v>110</v>
      </c>
      <c r="B10" s="3">
        <v>5.0</v>
      </c>
      <c r="C10" s="3" t="s">
        <v>106</v>
      </c>
      <c r="D10" s="3" t="s">
        <v>107</v>
      </c>
      <c r="E10" s="3" t="s">
        <v>34</v>
      </c>
      <c r="F10" s="3">
        <v>5.0</v>
      </c>
      <c r="G10" s="3" t="s">
        <v>69</v>
      </c>
      <c r="H10" s="3" t="s">
        <v>85</v>
      </c>
      <c r="I10" s="3" t="s">
        <v>71</v>
      </c>
      <c r="J10" s="3" t="s">
        <v>72</v>
      </c>
      <c r="K10" s="3" t="s">
        <v>73</v>
      </c>
      <c r="L10" s="6" t="s">
        <v>57</v>
      </c>
      <c r="M10" s="7">
        <v>46190.0</v>
      </c>
      <c r="N10" s="6" t="s">
        <v>111</v>
      </c>
      <c r="O10" s="5"/>
      <c r="P10" s="3" t="s">
        <v>42</v>
      </c>
      <c r="Q10" s="3" t="str">
        <f t="shared" si="1"/>
        <v/>
      </c>
      <c r="R10" s="3" t="s">
        <v>43</v>
      </c>
      <c r="S10" s="3" t="s">
        <v>61</v>
      </c>
      <c r="T10" s="3" t="s">
        <v>87</v>
      </c>
      <c r="U10" s="3" t="s">
        <v>87</v>
      </c>
      <c r="V10" s="3" t="s">
        <v>112</v>
      </c>
      <c r="W10" s="3" t="s">
        <v>113</v>
      </c>
      <c r="X10" s="3" t="s">
        <v>104</v>
      </c>
      <c r="Y10" s="3" t="s">
        <v>49</v>
      </c>
      <c r="Z10" s="3" t="s">
        <v>50</v>
      </c>
      <c r="AA10" s="3" t="s">
        <v>50</v>
      </c>
      <c r="AB10" s="4"/>
      <c r="AC10" s="3"/>
      <c r="AD10" s="3" t="s">
        <v>51</v>
      </c>
      <c r="AE10" s="3"/>
    </row>
    <row r="11">
      <c r="A11" s="3" t="s">
        <v>114</v>
      </c>
      <c r="B11" s="3">
        <v>1.0</v>
      </c>
      <c r="C11" s="3" t="s">
        <v>32</v>
      </c>
      <c r="D11" s="3" t="s">
        <v>33</v>
      </c>
      <c r="E11" s="3" t="s">
        <v>115</v>
      </c>
      <c r="F11" s="3">
        <v>4.0</v>
      </c>
      <c r="G11" s="3" t="s">
        <v>116</v>
      </c>
      <c r="H11" s="3" t="s">
        <v>117</v>
      </c>
      <c r="I11" s="3" t="s">
        <v>118</v>
      </c>
      <c r="J11" s="3" t="s">
        <v>119</v>
      </c>
      <c r="K11" s="3" t="s">
        <v>120</v>
      </c>
      <c r="L11" s="6" t="s">
        <v>121</v>
      </c>
      <c r="M11" s="4"/>
      <c r="N11" s="3" t="s">
        <v>122</v>
      </c>
      <c r="O11" s="5"/>
      <c r="P11" s="3" t="s">
        <v>123</v>
      </c>
      <c r="Q11" s="3" t="str">
        <f t="shared" si="1"/>
        <v/>
      </c>
      <c r="R11" s="3" t="s">
        <v>124</v>
      </c>
      <c r="S11" s="3" t="s">
        <v>44</v>
      </c>
      <c r="T11" s="9" t="s">
        <v>125</v>
      </c>
      <c r="U11" s="3" t="s">
        <v>125</v>
      </c>
      <c r="V11" s="3" t="s">
        <v>126</v>
      </c>
      <c r="W11" s="3" t="s">
        <v>127</v>
      </c>
      <c r="X11" s="3" t="s">
        <v>128</v>
      </c>
      <c r="Y11" s="3" t="s">
        <v>49</v>
      </c>
      <c r="Z11" s="3" t="s">
        <v>50</v>
      </c>
      <c r="AA11" s="3" t="s">
        <v>50</v>
      </c>
      <c r="AB11" s="4"/>
      <c r="AC11" s="3"/>
      <c r="AD11" s="3" t="s">
        <v>51</v>
      </c>
      <c r="AE11" s="3"/>
    </row>
    <row r="12">
      <c r="A12" s="3" t="s">
        <v>129</v>
      </c>
      <c r="B12" s="3">
        <v>1.0</v>
      </c>
      <c r="C12" s="3" t="s">
        <v>32</v>
      </c>
      <c r="D12" s="3" t="s">
        <v>33</v>
      </c>
      <c r="E12" s="3" t="s">
        <v>115</v>
      </c>
      <c r="F12" s="3">
        <v>4.0</v>
      </c>
      <c r="G12" s="3" t="s">
        <v>130</v>
      </c>
      <c r="H12" s="3" t="s">
        <v>131</v>
      </c>
      <c r="I12" s="3" t="s">
        <v>132</v>
      </c>
      <c r="J12" s="3" t="s">
        <v>133</v>
      </c>
      <c r="K12" s="3" t="s">
        <v>134</v>
      </c>
      <c r="L12" s="6" t="s">
        <v>57</v>
      </c>
      <c r="M12" s="4"/>
      <c r="N12" s="3" t="s">
        <v>42</v>
      </c>
      <c r="O12" s="5"/>
      <c r="P12" s="3" t="s">
        <v>135</v>
      </c>
      <c r="Q12" s="3" t="str">
        <f t="shared" si="1"/>
        <v/>
      </c>
      <c r="R12" s="3" t="s">
        <v>136</v>
      </c>
      <c r="S12" s="3" t="s">
        <v>44</v>
      </c>
      <c r="T12" s="9" t="s">
        <v>137</v>
      </c>
      <c r="U12" s="3" t="s">
        <v>137</v>
      </c>
      <c r="V12" s="3" t="s">
        <v>138</v>
      </c>
      <c r="W12" s="3" t="s">
        <v>139</v>
      </c>
      <c r="X12" s="3" t="s">
        <v>140</v>
      </c>
      <c r="Y12" s="3" t="s">
        <v>49</v>
      </c>
      <c r="Z12" s="3" t="s">
        <v>50</v>
      </c>
      <c r="AA12" s="3" t="s">
        <v>50</v>
      </c>
      <c r="AB12" s="4"/>
      <c r="AC12" s="3"/>
      <c r="AD12" s="3" t="s">
        <v>51</v>
      </c>
      <c r="AE12" s="3"/>
    </row>
    <row r="13">
      <c r="A13" s="3" t="s">
        <v>141</v>
      </c>
      <c r="B13" s="3">
        <v>2.0</v>
      </c>
      <c r="C13" s="3" t="s">
        <v>67</v>
      </c>
      <c r="D13" s="3" t="s">
        <v>68</v>
      </c>
      <c r="E13" s="3" t="s">
        <v>115</v>
      </c>
      <c r="F13" s="3">
        <v>4.0</v>
      </c>
      <c r="G13" s="3" t="s">
        <v>53</v>
      </c>
      <c r="H13" s="3" t="s">
        <v>142</v>
      </c>
      <c r="I13" s="3" t="s">
        <v>71</v>
      </c>
      <c r="J13" s="3" t="s">
        <v>72</v>
      </c>
      <c r="K13" s="3" t="s">
        <v>73</v>
      </c>
      <c r="L13" s="6" t="s">
        <v>57</v>
      </c>
      <c r="M13" s="4"/>
      <c r="N13" s="3" t="s">
        <v>94</v>
      </c>
      <c r="O13" s="5" t="s">
        <v>59</v>
      </c>
      <c r="P13" s="3" t="s">
        <v>60</v>
      </c>
      <c r="Q13" s="8">
        <f t="shared" si="1"/>
        <v>43</v>
      </c>
      <c r="R13" s="3" t="s">
        <v>43</v>
      </c>
      <c r="S13" s="3" t="s">
        <v>61</v>
      </c>
      <c r="T13" s="3" t="s">
        <v>143</v>
      </c>
      <c r="U13" s="3" t="s">
        <v>143</v>
      </c>
      <c r="V13" s="3" t="s">
        <v>144</v>
      </c>
      <c r="W13" s="3" t="s">
        <v>145</v>
      </c>
      <c r="X13" s="3" t="s">
        <v>128</v>
      </c>
      <c r="Y13" s="3" t="s">
        <v>49</v>
      </c>
      <c r="Z13" s="3" t="s">
        <v>50</v>
      </c>
      <c r="AA13" s="3" t="s">
        <v>50</v>
      </c>
      <c r="AB13" s="4"/>
      <c r="AC13" s="3"/>
      <c r="AD13" s="3" t="s">
        <v>51</v>
      </c>
      <c r="AE13" s="3"/>
    </row>
    <row r="14">
      <c r="A14" s="3" t="s">
        <v>146</v>
      </c>
      <c r="B14" s="3">
        <v>2.0</v>
      </c>
      <c r="C14" s="3" t="s">
        <v>67</v>
      </c>
      <c r="D14" s="3" t="s">
        <v>68</v>
      </c>
      <c r="E14" s="3" t="s">
        <v>115</v>
      </c>
      <c r="F14" s="3">
        <v>4.0</v>
      </c>
      <c r="G14" s="3" t="s">
        <v>53</v>
      </c>
      <c r="H14" s="3" t="s">
        <v>147</v>
      </c>
      <c r="I14" s="3" t="s">
        <v>71</v>
      </c>
      <c r="J14" s="3" t="s">
        <v>72</v>
      </c>
      <c r="K14" s="3" t="s">
        <v>73</v>
      </c>
      <c r="L14" s="6" t="s">
        <v>57</v>
      </c>
      <c r="M14" s="4"/>
      <c r="N14" s="3" t="s">
        <v>94</v>
      </c>
      <c r="O14" s="5" t="s">
        <v>59</v>
      </c>
      <c r="P14" s="3" t="s">
        <v>60</v>
      </c>
      <c r="Q14" s="8">
        <f t="shared" si="1"/>
        <v>43</v>
      </c>
      <c r="R14" s="3" t="s">
        <v>43</v>
      </c>
      <c r="S14" s="3" t="s">
        <v>61</v>
      </c>
      <c r="T14" s="10" t="s">
        <v>148</v>
      </c>
      <c r="U14" s="3" t="s">
        <v>148</v>
      </c>
      <c r="V14" s="3" t="s">
        <v>149</v>
      </c>
      <c r="W14" s="3" t="s">
        <v>150</v>
      </c>
      <c r="X14" s="3" t="s">
        <v>98</v>
      </c>
      <c r="Y14" s="3" t="s">
        <v>49</v>
      </c>
      <c r="Z14" s="3" t="s">
        <v>50</v>
      </c>
      <c r="AA14" s="3" t="s">
        <v>50</v>
      </c>
      <c r="AB14" s="4"/>
      <c r="AC14" s="3"/>
      <c r="AD14" s="3" t="s">
        <v>51</v>
      </c>
      <c r="AE14" s="3"/>
    </row>
    <row r="15">
      <c r="A15" s="3" t="s">
        <v>151</v>
      </c>
      <c r="B15" s="3">
        <v>2.0</v>
      </c>
      <c r="C15" s="3" t="s">
        <v>67</v>
      </c>
      <c r="D15" s="3" t="s">
        <v>68</v>
      </c>
      <c r="E15" s="3" t="s">
        <v>115</v>
      </c>
      <c r="F15" s="3">
        <v>4.0</v>
      </c>
      <c r="G15" s="3" t="s">
        <v>116</v>
      </c>
      <c r="H15" s="3" t="s">
        <v>117</v>
      </c>
      <c r="I15" s="3" t="s">
        <v>118</v>
      </c>
      <c r="J15" s="3" t="s">
        <v>119</v>
      </c>
      <c r="K15" s="3" t="s">
        <v>120</v>
      </c>
      <c r="L15" s="3" t="s">
        <v>40</v>
      </c>
      <c r="M15" s="4"/>
      <c r="N15" s="3" t="s">
        <v>122</v>
      </c>
      <c r="O15" s="5"/>
      <c r="P15" s="3" t="s">
        <v>123</v>
      </c>
      <c r="Q15" s="3" t="str">
        <f t="shared" si="1"/>
        <v/>
      </c>
      <c r="R15" s="3" t="s">
        <v>124</v>
      </c>
      <c r="S15" s="3" t="s">
        <v>44</v>
      </c>
      <c r="T15" s="3" t="s">
        <v>125</v>
      </c>
      <c r="U15" s="3" t="s">
        <v>125</v>
      </c>
      <c r="V15" s="3" t="s">
        <v>152</v>
      </c>
      <c r="W15" s="3" t="s">
        <v>153</v>
      </c>
      <c r="X15" s="3" t="s">
        <v>128</v>
      </c>
      <c r="Y15" s="3" t="s">
        <v>49</v>
      </c>
      <c r="Z15" s="3" t="s">
        <v>50</v>
      </c>
      <c r="AA15" s="3" t="s">
        <v>50</v>
      </c>
      <c r="AB15" s="4"/>
      <c r="AC15" s="3"/>
      <c r="AD15" s="3" t="s">
        <v>51</v>
      </c>
      <c r="AE15" s="3"/>
    </row>
    <row r="16">
      <c r="A16" s="3" t="s">
        <v>154</v>
      </c>
      <c r="B16" s="3">
        <v>3.0</v>
      </c>
      <c r="C16" s="3" t="s">
        <v>80</v>
      </c>
      <c r="D16" s="3" t="s">
        <v>81</v>
      </c>
      <c r="E16" s="3" t="s">
        <v>115</v>
      </c>
      <c r="F16" s="3">
        <v>4.0</v>
      </c>
      <c r="G16" s="3" t="s">
        <v>155</v>
      </c>
      <c r="H16" s="3" t="s">
        <v>156</v>
      </c>
      <c r="I16" s="3" t="s">
        <v>157</v>
      </c>
      <c r="J16" s="3" t="s">
        <v>158</v>
      </c>
      <c r="K16" s="3" t="s">
        <v>39</v>
      </c>
      <c r="L16" s="3" t="s">
        <v>40</v>
      </c>
      <c r="M16" s="4"/>
      <c r="N16" s="3" t="s">
        <v>42</v>
      </c>
      <c r="O16" s="5"/>
      <c r="P16" s="3" t="s">
        <v>42</v>
      </c>
      <c r="Q16" s="3" t="str">
        <f t="shared" si="1"/>
        <v/>
      </c>
      <c r="R16" s="3" t="s">
        <v>43</v>
      </c>
      <c r="S16" s="3" t="s">
        <v>61</v>
      </c>
      <c r="T16" s="3" t="s">
        <v>159</v>
      </c>
      <c r="U16" s="3" t="s">
        <v>159</v>
      </c>
      <c r="V16" s="3" t="s">
        <v>160</v>
      </c>
      <c r="W16" s="3" t="s">
        <v>161</v>
      </c>
      <c r="X16" s="3" t="s">
        <v>104</v>
      </c>
      <c r="Y16" s="3" t="s">
        <v>49</v>
      </c>
      <c r="Z16" s="3" t="s">
        <v>50</v>
      </c>
      <c r="AA16" s="3" t="s">
        <v>50</v>
      </c>
      <c r="AB16" s="4"/>
      <c r="AC16" s="3"/>
      <c r="AD16" s="3" t="s">
        <v>51</v>
      </c>
      <c r="AE16" s="3"/>
    </row>
    <row r="17">
      <c r="A17" s="3" t="s">
        <v>162</v>
      </c>
      <c r="B17" s="3">
        <v>3.0</v>
      </c>
      <c r="C17" s="3" t="s">
        <v>80</v>
      </c>
      <c r="D17" s="3" t="s">
        <v>81</v>
      </c>
      <c r="E17" s="3" t="s">
        <v>115</v>
      </c>
      <c r="F17" s="3">
        <v>4.0</v>
      </c>
      <c r="G17" s="3" t="s">
        <v>163</v>
      </c>
      <c r="H17" s="3" t="s">
        <v>164</v>
      </c>
      <c r="I17" s="3" t="s">
        <v>165</v>
      </c>
      <c r="J17" s="3" t="s">
        <v>166</v>
      </c>
      <c r="K17" s="3" t="s">
        <v>73</v>
      </c>
      <c r="L17" s="3" t="s">
        <v>40</v>
      </c>
      <c r="M17" s="4"/>
      <c r="N17" s="3" t="s">
        <v>42</v>
      </c>
      <c r="O17" s="5"/>
      <c r="P17" s="3" t="s">
        <v>42</v>
      </c>
      <c r="Q17" s="3" t="str">
        <f t="shared" si="1"/>
        <v/>
      </c>
      <c r="R17" s="3" t="s">
        <v>43</v>
      </c>
      <c r="S17" s="3" t="s">
        <v>61</v>
      </c>
      <c r="T17" s="3" t="s">
        <v>167</v>
      </c>
      <c r="U17" s="3" t="s">
        <v>167</v>
      </c>
      <c r="V17" s="3" t="s">
        <v>168</v>
      </c>
      <c r="W17" s="3" t="s">
        <v>169</v>
      </c>
      <c r="X17" s="3" t="s">
        <v>170</v>
      </c>
      <c r="Y17" s="3" t="s">
        <v>49</v>
      </c>
      <c r="Z17" s="3" t="s">
        <v>50</v>
      </c>
      <c r="AA17" s="3" t="s">
        <v>50</v>
      </c>
      <c r="AB17" s="4"/>
      <c r="AC17" s="3"/>
      <c r="AD17" s="3" t="s">
        <v>51</v>
      </c>
      <c r="AE17" s="3"/>
    </row>
    <row r="18">
      <c r="A18" s="3" t="s">
        <v>171</v>
      </c>
      <c r="B18" s="3">
        <v>3.0</v>
      </c>
      <c r="C18" s="3" t="s">
        <v>80</v>
      </c>
      <c r="D18" s="3" t="s">
        <v>81</v>
      </c>
      <c r="E18" s="3" t="s">
        <v>115</v>
      </c>
      <c r="F18" s="3">
        <v>4.0</v>
      </c>
      <c r="G18" s="3" t="s">
        <v>163</v>
      </c>
      <c r="H18" s="3" t="s">
        <v>172</v>
      </c>
      <c r="I18" s="3" t="s">
        <v>165</v>
      </c>
      <c r="J18" s="3" t="s">
        <v>166</v>
      </c>
      <c r="K18" s="3" t="s">
        <v>73</v>
      </c>
      <c r="L18" s="3" t="s">
        <v>40</v>
      </c>
      <c r="M18" s="4"/>
      <c r="N18" s="3" t="s">
        <v>42</v>
      </c>
      <c r="O18" s="5"/>
      <c r="P18" s="3" t="s">
        <v>42</v>
      </c>
      <c r="Q18" s="3" t="str">
        <f t="shared" si="1"/>
        <v/>
      </c>
      <c r="R18" s="3" t="s">
        <v>43</v>
      </c>
      <c r="S18" s="3" t="s">
        <v>61</v>
      </c>
      <c r="T18" s="3" t="s">
        <v>173</v>
      </c>
      <c r="U18" s="3" t="s">
        <v>173</v>
      </c>
      <c r="V18" s="3" t="s">
        <v>174</v>
      </c>
      <c r="W18" s="3" t="s">
        <v>175</v>
      </c>
      <c r="X18" s="3" t="s">
        <v>170</v>
      </c>
      <c r="Y18" s="3" t="s">
        <v>49</v>
      </c>
      <c r="Z18" s="3" t="s">
        <v>50</v>
      </c>
      <c r="AA18" s="3" t="s">
        <v>50</v>
      </c>
      <c r="AB18" s="4"/>
      <c r="AC18" s="3"/>
      <c r="AD18" s="3" t="s">
        <v>51</v>
      </c>
      <c r="AE18" s="3"/>
    </row>
    <row r="19">
      <c r="A19" s="3" t="s">
        <v>176</v>
      </c>
      <c r="B19" s="3">
        <v>4.0</v>
      </c>
      <c r="C19" s="3" t="s">
        <v>91</v>
      </c>
      <c r="D19" s="3" t="s">
        <v>92</v>
      </c>
      <c r="E19" s="3" t="s">
        <v>115</v>
      </c>
      <c r="F19" s="3">
        <v>4.0</v>
      </c>
      <c r="G19" s="3" t="s">
        <v>163</v>
      </c>
      <c r="H19" s="3" t="s">
        <v>172</v>
      </c>
      <c r="I19" s="3" t="s">
        <v>165</v>
      </c>
      <c r="J19" s="3" t="s">
        <v>166</v>
      </c>
      <c r="K19" s="3" t="s">
        <v>73</v>
      </c>
      <c r="L19" s="3" t="s">
        <v>40</v>
      </c>
      <c r="M19" s="4"/>
      <c r="N19" s="3" t="s">
        <v>42</v>
      </c>
      <c r="O19" s="5"/>
      <c r="P19" s="3" t="s">
        <v>42</v>
      </c>
      <c r="Q19" s="3" t="str">
        <f t="shared" si="1"/>
        <v/>
      </c>
      <c r="R19" s="3" t="s">
        <v>43</v>
      </c>
      <c r="S19" s="3" t="s">
        <v>61</v>
      </c>
      <c r="T19" s="3" t="s">
        <v>173</v>
      </c>
      <c r="U19" s="3" t="s">
        <v>173</v>
      </c>
      <c r="V19" s="3" t="s">
        <v>177</v>
      </c>
      <c r="W19" s="3" t="s">
        <v>178</v>
      </c>
      <c r="X19" s="3" t="s">
        <v>170</v>
      </c>
      <c r="Y19" s="3" t="s">
        <v>49</v>
      </c>
      <c r="Z19" s="3" t="s">
        <v>50</v>
      </c>
      <c r="AA19" s="3" t="s">
        <v>50</v>
      </c>
      <c r="AB19" s="4"/>
      <c r="AC19" s="3"/>
      <c r="AD19" s="3" t="s">
        <v>51</v>
      </c>
      <c r="AE19" s="3"/>
    </row>
    <row r="20">
      <c r="A20" s="3" t="s">
        <v>179</v>
      </c>
      <c r="B20" s="3">
        <v>5.0</v>
      </c>
      <c r="C20" s="3" t="s">
        <v>106</v>
      </c>
      <c r="D20" s="3" t="s">
        <v>107</v>
      </c>
      <c r="E20" s="3" t="s">
        <v>115</v>
      </c>
      <c r="F20" s="3">
        <v>4.0</v>
      </c>
      <c r="G20" s="3" t="s">
        <v>53</v>
      </c>
      <c r="H20" s="3" t="s">
        <v>180</v>
      </c>
      <c r="I20" s="3" t="s">
        <v>71</v>
      </c>
      <c r="J20" s="3" t="s">
        <v>72</v>
      </c>
      <c r="K20" s="3" t="s">
        <v>73</v>
      </c>
      <c r="L20" s="3" t="s">
        <v>40</v>
      </c>
      <c r="M20" s="4"/>
      <c r="N20" s="3" t="s">
        <v>181</v>
      </c>
      <c r="O20" s="5"/>
      <c r="P20" s="3" t="s">
        <v>42</v>
      </c>
      <c r="Q20" s="3" t="str">
        <f t="shared" si="1"/>
        <v/>
      </c>
      <c r="R20" s="3" t="s">
        <v>43</v>
      </c>
      <c r="S20" s="3" t="s">
        <v>61</v>
      </c>
      <c r="T20" s="3" t="s">
        <v>182</v>
      </c>
      <c r="U20" s="3" t="s">
        <v>182</v>
      </c>
      <c r="V20" s="3" t="s">
        <v>183</v>
      </c>
      <c r="W20" s="3" t="s">
        <v>184</v>
      </c>
      <c r="X20" s="3" t="s">
        <v>104</v>
      </c>
      <c r="Y20" s="3" t="s">
        <v>49</v>
      </c>
      <c r="Z20" s="3" t="s">
        <v>50</v>
      </c>
      <c r="AA20" s="3" t="s">
        <v>50</v>
      </c>
      <c r="AB20" s="4"/>
      <c r="AC20" s="3"/>
      <c r="AD20" s="3" t="s">
        <v>51</v>
      </c>
      <c r="AE20" s="3"/>
    </row>
    <row r="21">
      <c r="A21" s="3" t="s">
        <v>185</v>
      </c>
      <c r="B21" s="3">
        <v>5.0</v>
      </c>
      <c r="C21" s="3" t="s">
        <v>106</v>
      </c>
      <c r="D21" s="3" t="s">
        <v>107</v>
      </c>
      <c r="E21" s="3" t="s">
        <v>115</v>
      </c>
      <c r="F21" s="3">
        <v>4.0</v>
      </c>
      <c r="G21" s="3" t="s">
        <v>186</v>
      </c>
      <c r="H21" s="3" t="s">
        <v>187</v>
      </c>
      <c r="I21" s="3" t="s">
        <v>71</v>
      </c>
      <c r="J21" s="3" t="s">
        <v>72</v>
      </c>
      <c r="K21" s="3" t="s">
        <v>73</v>
      </c>
      <c r="L21" s="3" t="s">
        <v>40</v>
      </c>
      <c r="M21" s="4"/>
      <c r="N21" s="3" t="s">
        <v>188</v>
      </c>
      <c r="O21" s="5"/>
      <c r="P21" s="3" t="s">
        <v>42</v>
      </c>
      <c r="Q21" s="3" t="str">
        <f t="shared" si="1"/>
        <v/>
      </c>
      <c r="R21" s="3" t="s">
        <v>43</v>
      </c>
      <c r="S21" s="3" t="s">
        <v>61</v>
      </c>
      <c r="T21" s="10" t="s">
        <v>189</v>
      </c>
      <c r="U21" s="3" t="s">
        <v>189</v>
      </c>
      <c r="V21" s="3" t="s">
        <v>190</v>
      </c>
      <c r="W21" s="3" t="s">
        <v>191</v>
      </c>
      <c r="X21" s="3" t="s">
        <v>104</v>
      </c>
      <c r="Y21" s="3" t="s">
        <v>49</v>
      </c>
      <c r="Z21" s="3" t="s">
        <v>50</v>
      </c>
      <c r="AA21" s="3" t="s">
        <v>50</v>
      </c>
      <c r="AB21" s="4"/>
      <c r="AC21" s="3"/>
      <c r="AD21" s="3" t="s">
        <v>51</v>
      </c>
      <c r="AE21" s="3"/>
    </row>
    <row r="22">
      <c r="A22" s="3" t="s">
        <v>192</v>
      </c>
      <c r="B22" s="3">
        <v>5.0</v>
      </c>
      <c r="C22" s="3" t="s">
        <v>106</v>
      </c>
      <c r="D22" s="3" t="s">
        <v>107</v>
      </c>
      <c r="E22" s="3" t="s">
        <v>115</v>
      </c>
      <c r="F22" s="3">
        <v>4.0</v>
      </c>
      <c r="G22" s="3" t="s">
        <v>155</v>
      </c>
      <c r="H22" s="3" t="s">
        <v>156</v>
      </c>
      <c r="I22" s="3" t="s">
        <v>157</v>
      </c>
      <c r="J22" s="3" t="s">
        <v>158</v>
      </c>
      <c r="K22" s="3" t="s">
        <v>39</v>
      </c>
      <c r="L22" s="3" t="s">
        <v>40</v>
      </c>
      <c r="M22" s="4"/>
      <c r="N22" s="3" t="s">
        <v>42</v>
      </c>
      <c r="O22" s="5"/>
      <c r="P22" s="3" t="s">
        <v>42</v>
      </c>
      <c r="Q22" s="3" t="str">
        <f t="shared" si="1"/>
        <v/>
      </c>
      <c r="R22" s="3" t="s">
        <v>43</v>
      </c>
      <c r="S22" s="3" t="s">
        <v>61</v>
      </c>
      <c r="T22" s="3" t="s">
        <v>159</v>
      </c>
      <c r="U22" s="3" t="s">
        <v>159</v>
      </c>
      <c r="V22" s="3" t="s">
        <v>193</v>
      </c>
      <c r="W22" s="3" t="s">
        <v>194</v>
      </c>
      <c r="X22" s="3" t="s">
        <v>104</v>
      </c>
      <c r="Y22" s="3" t="s">
        <v>49</v>
      </c>
      <c r="Z22" s="3" t="s">
        <v>50</v>
      </c>
      <c r="AA22" s="3" t="s">
        <v>50</v>
      </c>
      <c r="AB22" s="4"/>
      <c r="AC22" s="3"/>
      <c r="AD22" s="3" t="s">
        <v>51</v>
      </c>
      <c r="AE22" s="3"/>
    </row>
    <row r="23">
      <c r="A23" s="3" t="s">
        <v>195</v>
      </c>
      <c r="B23" s="3">
        <v>6.0</v>
      </c>
      <c r="C23" s="3" t="s">
        <v>196</v>
      </c>
      <c r="D23" s="3" t="s">
        <v>197</v>
      </c>
      <c r="E23" s="3" t="s">
        <v>115</v>
      </c>
      <c r="F23" s="3">
        <v>4.0</v>
      </c>
      <c r="G23" s="3" t="s">
        <v>130</v>
      </c>
      <c r="H23" s="3" t="s">
        <v>131</v>
      </c>
      <c r="I23" s="3" t="s">
        <v>132</v>
      </c>
      <c r="J23" s="3" t="s">
        <v>133</v>
      </c>
      <c r="K23" s="3" t="s">
        <v>134</v>
      </c>
      <c r="L23" s="6" t="s">
        <v>57</v>
      </c>
      <c r="M23" s="4"/>
      <c r="N23" s="3" t="s">
        <v>42</v>
      </c>
      <c r="O23" s="5"/>
      <c r="P23" s="3" t="s">
        <v>135</v>
      </c>
      <c r="Q23" s="3" t="str">
        <f t="shared" si="1"/>
        <v/>
      </c>
      <c r="R23" s="3" t="s">
        <v>136</v>
      </c>
      <c r="S23" s="3" t="s">
        <v>44</v>
      </c>
      <c r="T23" s="10" t="s">
        <v>137</v>
      </c>
      <c r="U23" s="3" t="s">
        <v>137</v>
      </c>
      <c r="V23" s="3" t="s">
        <v>198</v>
      </c>
      <c r="W23" s="3" t="s">
        <v>199</v>
      </c>
      <c r="X23" s="3" t="s">
        <v>200</v>
      </c>
      <c r="Y23" s="3" t="s">
        <v>49</v>
      </c>
      <c r="Z23" s="3" t="s">
        <v>50</v>
      </c>
      <c r="AA23" s="3" t="s">
        <v>50</v>
      </c>
      <c r="AB23" s="4"/>
      <c r="AC23" s="3"/>
      <c r="AD23" s="3" t="s">
        <v>51</v>
      </c>
      <c r="AE23" s="3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conditionalFormatting sqref="L1:L992">
    <cfRule type="containsText" dxfId="4" priority="1" operator="containsText" text="Applied">
      <formula>NOT(ISERROR(SEARCH(("Applied"),(L1))))</formula>
    </cfRule>
  </conditionalFormatting>
  <dataValidations>
    <dataValidation type="list" allowBlank="1" sqref="S2:S23">
      <formula1>Lists!$G$2:$G$5</formula1>
    </dataValidation>
    <dataValidation type="list" allowBlank="1" sqref="Y2:Y23">
      <formula1>Lists!$C$2:$C$8</formula1>
    </dataValidation>
    <dataValidation type="list" allowBlank="1" sqref="X2:X23">
      <formula1>Lists!$H$2:$H$10</formula1>
    </dataValidation>
    <dataValidation type="list" allowBlank="1" sqref="L2:L23">
      <formula1>Lists!$B$2:$B$14</formula1>
    </dataValidation>
    <dataValidation type="list" allowBlank="1" sqref="R2:R23">
      <formula1>Lists!$F$2:$F$6</formula1>
    </dataValidation>
    <dataValidation type="list" allowBlank="1" sqref="Z2:Z23">
      <formula1>Lists!$D$2:$D$9</formula1>
    </dataValidation>
    <dataValidation type="list" allowBlank="1" sqref="AA2:AA23">
      <formula1>Lists!$E$2:$E$7</formula1>
    </dataValidation>
    <dataValidation type="list" allowBlank="1" sqref="E2:E23">
      <formula1>Lists!$A$2:$A$6</formula1>
    </dataValidation>
  </dataValidations>
  <hyperlinks>
    <hyperlink r:id="rId1" ref="T7"/>
    <hyperlink r:id="rId2" ref="T8"/>
    <hyperlink r:id="rId3" ref="T11"/>
    <hyperlink r:id="rId4" ref="T12"/>
    <hyperlink r:id="rId5" ref="T14"/>
    <hyperlink r:id="rId6" ref="T21"/>
    <hyperlink r:id="rId7" ref="T23"/>
  </hyperlinks>
  <printOptions/>
  <pageMargins bottom="0.75" footer="0.0" header="0.0" left="0.7" right="0.7" top="0.75"/>
  <pageSetup orientation="landscape"/>
  <drawing r:id="rId8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2" width="18.0"/>
    <col customWidth="1" min="3" max="6" width="16.0"/>
    <col customWidth="1" min="7" max="7" width="8.63"/>
    <col customWidth="1" min="8" max="8" width="22.0"/>
    <col customWidth="1" min="9" max="9" width="12.0"/>
    <col customWidth="1" min="10" max="26" width="8.63"/>
  </cols>
  <sheetData>
    <row r="1" ht="33.75" customHeight="1">
      <c r="A1" s="11" t="s">
        <v>201</v>
      </c>
    </row>
    <row r="3">
      <c r="A3" s="12" t="s">
        <v>202</v>
      </c>
      <c r="B3" s="13">
        <f>COUNTA(Applications!A2:A23)</f>
        <v>22</v>
      </c>
      <c r="H3" s="14" t="s">
        <v>11</v>
      </c>
      <c r="I3" s="14" t="s">
        <v>203</v>
      </c>
    </row>
    <row r="4">
      <c r="A4" s="12" t="s">
        <v>204</v>
      </c>
      <c r="B4" s="15">
        <f>AVERAGE(Applications!F2:F23)</f>
        <v>4.409090909</v>
      </c>
      <c r="H4" s="16" t="s">
        <v>40</v>
      </c>
      <c r="I4" s="16">
        <f>COUNTIF(Applications!L$2:L$23,H4)</f>
        <v>9</v>
      </c>
    </row>
    <row r="5">
      <c r="A5" s="12" t="s">
        <v>205</v>
      </c>
      <c r="B5" s="13">
        <f>COUNTIF(Applications!K2:K23,"Boston")</f>
        <v>3</v>
      </c>
      <c r="H5" s="16" t="s">
        <v>206</v>
      </c>
      <c r="I5" s="16">
        <f>COUNTIF(Applications!L$2:L$23,H5)</f>
        <v>0</v>
      </c>
    </row>
    <row r="6">
      <c r="A6" s="12" t="s">
        <v>207</v>
      </c>
      <c r="B6" s="13">
        <f>COUNTIF(Applications!K2:K23,"East Coast")+COUNTIF(Applications!K2:K23,"Boston")+COUNTIF(Applications!K2:K23,"Boston-area option")</f>
        <v>17</v>
      </c>
      <c r="H6" s="16" t="s">
        <v>57</v>
      </c>
      <c r="I6" s="16">
        <f>COUNTIF(Applications!L$2:L$23,H6)</f>
        <v>12</v>
      </c>
    </row>
    <row r="7">
      <c r="A7" s="12" t="s">
        <v>208</v>
      </c>
      <c r="B7" s="13">
        <f>COUNTIF(Applications!E2:E23,"Very High")</f>
        <v>9</v>
      </c>
      <c r="H7" s="16" t="s">
        <v>209</v>
      </c>
      <c r="I7" s="16">
        <f>COUNTIF(Applications!L$2:L$23,H7)</f>
        <v>0</v>
      </c>
    </row>
    <row r="8">
      <c r="A8" s="12" t="s">
        <v>210</v>
      </c>
      <c r="B8" s="13">
        <f>COUNTIF(Applications!L2:L23,"Not Started")</f>
        <v>9</v>
      </c>
      <c r="H8" s="16" t="s">
        <v>211</v>
      </c>
      <c r="I8" s="16">
        <f>COUNTIF(Applications!L$2:L$23,H8)</f>
        <v>0</v>
      </c>
    </row>
    <row r="9">
      <c r="H9" s="16" t="s">
        <v>212</v>
      </c>
      <c r="I9" s="16">
        <f>COUNTIF(Applications!L$2:L$23,H9)</f>
        <v>0</v>
      </c>
    </row>
    <row r="10">
      <c r="H10" s="16" t="s">
        <v>213</v>
      </c>
      <c r="I10" s="16">
        <f>COUNTIF(Applications!L$2:L$23,H10)</f>
        <v>0</v>
      </c>
    </row>
    <row r="11">
      <c r="A11" s="17" t="s">
        <v>2</v>
      </c>
      <c r="B11" s="17" t="s">
        <v>203</v>
      </c>
      <c r="C11" s="17" t="s">
        <v>214</v>
      </c>
      <c r="D11" s="17" t="s">
        <v>34</v>
      </c>
      <c r="E11" s="17" t="s">
        <v>56</v>
      </c>
      <c r="F11" s="17" t="s">
        <v>215</v>
      </c>
      <c r="H11" s="16" t="s">
        <v>216</v>
      </c>
      <c r="I11" s="16">
        <f>COUNTIF(Applications!L$2:L$23,H11)</f>
        <v>0</v>
      </c>
    </row>
    <row r="12">
      <c r="A12" s="18" t="s">
        <v>32</v>
      </c>
      <c r="B12" s="19">
        <f>COUNTIF(Applications!C$2:C$23,A12)</f>
        <v>4</v>
      </c>
      <c r="C12" s="20">
        <f>IFERROR(AVERAGEIF(Applications!C$2:C$23,A12,Applications!F$2:F$23),"")</f>
        <v>4.5</v>
      </c>
      <c r="D12" s="19">
        <f>COUNTIFS(Applications!C$2:C$23,A12,Applications!E$2:E$23,"Very High")</f>
        <v>2</v>
      </c>
      <c r="E12" s="19">
        <f>COUNTIFS(Applications!C$2:C$23,A12,Applications!K$2:K$23,"Boston")</f>
        <v>1</v>
      </c>
      <c r="F12" s="19">
        <f>COUNTIFS(Applications!C$2:C$23,A12,Applications!K$2:K$23,"East Coast")+COUNTIFS(Applications!C$2:C$23,A12,Applications!K$2:K$23,"Boston")+COUNTIFS(Applications!C$2:C$23,A12,Applications!K$2:K$23,"Boston-area option")</f>
        <v>2</v>
      </c>
      <c r="H12" s="16" t="s">
        <v>217</v>
      </c>
      <c r="I12" s="16">
        <f>COUNTIF(Applications!L$2:L$23,H12)</f>
        <v>0</v>
      </c>
    </row>
    <row r="13">
      <c r="A13" s="18" t="s">
        <v>67</v>
      </c>
      <c r="B13" s="19">
        <f>COUNTIF(Applications!C$2:C$23,A13)</f>
        <v>4</v>
      </c>
      <c r="C13" s="20">
        <f>IFERROR(AVERAGEIF(Applications!C$2:C$23,A13,Applications!F$2:F$23),"")</f>
        <v>4.25</v>
      </c>
      <c r="D13" s="19">
        <f>COUNTIFS(Applications!C$2:C$23,A13,Applications!E$2:E$23,"Very High")</f>
        <v>1</v>
      </c>
      <c r="E13" s="19">
        <f>COUNTIFS(Applications!C$2:C$23,A13,Applications!K$2:K$23,"Boston")</f>
        <v>0</v>
      </c>
      <c r="F13" s="19">
        <f>COUNTIFS(Applications!C$2:C$23,A13,Applications!K$2:K$23,"East Coast")+COUNTIFS(Applications!C$2:C$23,A13,Applications!K$2:K$23,"Boston")+COUNTIFS(Applications!C$2:C$23,A13,Applications!K$2:K$23,"Boston-area option")</f>
        <v>4</v>
      </c>
      <c r="H13" s="16" t="s">
        <v>218</v>
      </c>
      <c r="I13" s="16">
        <f>COUNTIF(Applications!L$2:L$23,H13)</f>
        <v>0</v>
      </c>
    </row>
    <row r="14">
      <c r="A14" s="18" t="s">
        <v>80</v>
      </c>
      <c r="B14" s="19">
        <f>COUNTIF(Applications!C$2:C$23,A14)</f>
        <v>5</v>
      </c>
      <c r="C14" s="20">
        <f>IFERROR(AVERAGEIF(Applications!C$2:C$23,A14,Applications!F$2:F$23),"")</f>
        <v>4.4</v>
      </c>
      <c r="D14" s="19">
        <f>COUNTIFS(Applications!C$2:C$23,A14,Applications!E$2:E$23,"Very High")</f>
        <v>2</v>
      </c>
      <c r="E14" s="19">
        <f>COUNTIFS(Applications!C$2:C$23,A14,Applications!K$2:K$23,"Boston")</f>
        <v>0</v>
      </c>
      <c r="F14" s="19">
        <f>COUNTIFS(Applications!C$2:C$23,A14,Applications!K$2:K$23,"East Coast")+COUNTIFS(Applications!C$2:C$23,A14,Applications!K$2:K$23,"Boston")+COUNTIFS(Applications!C$2:C$23,A14,Applications!K$2:K$23,"Boston-area option")</f>
        <v>4</v>
      </c>
      <c r="H14" s="16" t="s">
        <v>219</v>
      </c>
      <c r="I14" s="16">
        <f>COUNTIF(Applications!L$2:L$23,H14)</f>
        <v>0</v>
      </c>
    </row>
    <row r="15">
      <c r="A15" s="18" t="s">
        <v>91</v>
      </c>
      <c r="B15" s="19">
        <f>COUNTIF(Applications!C$2:C$23,A15)</f>
        <v>3</v>
      </c>
      <c r="C15" s="20">
        <f>IFERROR(AVERAGEIF(Applications!C$2:C$23,A15,Applications!F$2:F$23),"")</f>
        <v>4.666666667</v>
      </c>
      <c r="D15" s="19">
        <f>COUNTIFS(Applications!C$2:C$23,A15,Applications!E$2:E$23,"Very High")</f>
        <v>2</v>
      </c>
      <c r="E15" s="19">
        <f>COUNTIFS(Applications!C$2:C$23,A15,Applications!K$2:K$23,"Boston")</f>
        <v>1</v>
      </c>
      <c r="F15" s="19">
        <f>COUNTIFS(Applications!C$2:C$23,A15,Applications!K$2:K$23,"East Coast")+COUNTIFS(Applications!C$2:C$23,A15,Applications!K$2:K$23,"Boston")+COUNTIFS(Applications!C$2:C$23,A15,Applications!K$2:K$23,"Boston-area option")</f>
        <v>3</v>
      </c>
      <c r="H15" s="16" t="s">
        <v>220</v>
      </c>
      <c r="I15" s="16">
        <f>COUNTIF(Applications!L$2:L$23,H15)</f>
        <v>0</v>
      </c>
    </row>
    <row r="16">
      <c r="A16" s="18" t="s">
        <v>106</v>
      </c>
      <c r="B16" s="19">
        <f>COUNTIF(Applications!C$2:C$23,A16)</f>
        <v>5</v>
      </c>
      <c r="C16" s="20">
        <f>IFERROR(AVERAGEIF(Applications!C$2:C$23,A16,Applications!F$2:F$23),"")</f>
        <v>4.4</v>
      </c>
      <c r="D16" s="19">
        <f>COUNTIFS(Applications!C$2:C$23,A16,Applications!E$2:E$23,"Very High")</f>
        <v>2</v>
      </c>
      <c r="E16" s="19">
        <f>COUNTIFS(Applications!C$2:C$23,A16,Applications!K$2:K$23,"Boston")</f>
        <v>1</v>
      </c>
      <c r="F16" s="19">
        <f>COUNTIFS(Applications!C$2:C$23,A16,Applications!K$2:K$23,"East Coast")+COUNTIFS(Applications!C$2:C$23,A16,Applications!K$2:K$23,"Boston")+COUNTIFS(Applications!C$2:C$23,A16,Applications!K$2:K$23,"Boston-area option")</f>
        <v>4</v>
      </c>
      <c r="H16" s="16" t="s">
        <v>121</v>
      </c>
      <c r="I16" s="16">
        <f>COUNTIF(Applications!L$2:L$23,H16)</f>
        <v>1</v>
      </c>
    </row>
    <row r="17">
      <c r="A17" s="18" t="s">
        <v>196</v>
      </c>
      <c r="B17" s="19">
        <f>COUNTIF(Applications!C$2:C$23,A17)</f>
        <v>1</v>
      </c>
      <c r="C17" s="20">
        <f>IFERROR(AVERAGEIF(Applications!C$2:C$23,A17,Applications!F$2:F$23),"")</f>
        <v>4</v>
      </c>
      <c r="D17" s="19">
        <f>COUNTIFS(Applications!C$2:C$23,A17,Applications!E$2:E$23,"Very High")</f>
        <v>0</v>
      </c>
      <c r="E17" s="19">
        <f>COUNTIFS(Applications!C$2:C$23,A17,Applications!K$2:K$23,"Boston")</f>
        <v>0</v>
      </c>
      <c r="F17" s="19">
        <f>COUNTIFS(Applications!C$2:C$23,A17,Applications!K$2:K$23,"East Coast")+COUNTIFS(Applications!C$2:C$23,A17,Applications!K$2:K$23,"Boston")+COUNTIFS(Applications!C$2:C$23,A17,Applications!K$2:K$23,"Boston-area option")</f>
        <v>0</v>
      </c>
    </row>
    <row r="21" ht="15.75" customHeight="1">
      <c r="A21" s="21" t="s">
        <v>221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1:I2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8" width="28.0"/>
    <col customWidth="1" min="9" max="26" width="8.63"/>
  </cols>
  <sheetData>
    <row r="1">
      <c r="A1" s="14" t="s">
        <v>4</v>
      </c>
      <c r="B1" s="14" t="s">
        <v>11</v>
      </c>
      <c r="C1" s="14" t="s">
        <v>24</v>
      </c>
      <c r="D1" s="14" t="s">
        <v>25</v>
      </c>
      <c r="E1" s="14" t="s">
        <v>26</v>
      </c>
      <c r="F1" s="14" t="s">
        <v>17</v>
      </c>
      <c r="G1" s="14" t="s">
        <v>18</v>
      </c>
      <c r="H1" s="14" t="s">
        <v>23</v>
      </c>
    </row>
    <row r="2">
      <c r="A2" s="16" t="s">
        <v>34</v>
      </c>
      <c r="B2" s="16" t="s">
        <v>40</v>
      </c>
      <c r="C2" s="16" t="s">
        <v>49</v>
      </c>
      <c r="D2" s="16" t="s">
        <v>50</v>
      </c>
      <c r="E2" s="16" t="s">
        <v>50</v>
      </c>
      <c r="F2" s="16" t="s">
        <v>43</v>
      </c>
      <c r="G2" s="16" t="s">
        <v>44</v>
      </c>
      <c r="H2" s="16" t="s">
        <v>128</v>
      </c>
    </row>
    <row r="3">
      <c r="A3" s="16" t="s">
        <v>115</v>
      </c>
      <c r="B3" s="16" t="s">
        <v>206</v>
      </c>
      <c r="C3" s="16" t="s">
        <v>222</v>
      </c>
      <c r="D3" s="16" t="s">
        <v>223</v>
      </c>
      <c r="E3" s="16" t="s">
        <v>224</v>
      </c>
      <c r="F3" s="16" t="s">
        <v>124</v>
      </c>
      <c r="G3" s="16" t="s">
        <v>61</v>
      </c>
      <c r="H3" s="16" t="s">
        <v>78</v>
      </c>
    </row>
    <row r="4">
      <c r="A4" s="16" t="s">
        <v>225</v>
      </c>
      <c r="B4" s="16" t="s">
        <v>57</v>
      </c>
      <c r="C4" s="16" t="s">
        <v>219</v>
      </c>
      <c r="D4" s="16" t="s">
        <v>226</v>
      </c>
      <c r="E4" s="16" t="s">
        <v>227</v>
      </c>
      <c r="F4" s="16" t="s">
        <v>228</v>
      </c>
      <c r="G4" s="16" t="s">
        <v>229</v>
      </c>
      <c r="H4" s="16" t="s">
        <v>170</v>
      </c>
    </row>
    <row r="5">
      <c r="A5" s="16" t="s">
        <v>230</v>
      </c>
      <c r="B5" s="16" t="s">
        <v>209</v>
      </c>
      <c r="C5" s="16" t="s">
        <v>231</v>
      </c>
      <c r="D5" s="16" t="s">
        <v>232</v>
      </c>
      <c r="E5" s="16" t="s">
        <v>233</v>
      </c>
      <c r="F5" s="16" t="s">
        <v>136</v>
      </c>
      <c r="G5" s="16" t="s">
        <v>234</v>
      </c>
      <c r="H5" s="16" t="s">
        <v>48</v>
      </c>
    </row>
    <row r="6">
      <c r="A6" s="16" t="s">
        <v>235</v>
      </c>
      <c r="B6" s="16" t="s">
        <v>211</v>
      </c>
      <c r="C6" s="16" t="s">
        <v>236</v>
      </c>
      <c r="D6" s="16" t="s">
        <v>237</v>
      </c>
      <c r="E6" s="16" t="s">
        <v>238</v>
      </c>
      <c r="F6" s="16" t="s">
        <v>239</v>
      </c>
      <c r="H6" s="16" t="s">
        <v>140</v>
      </c>
    </row>
    <row r="7">
      <c r="B7" s="16" t="s">
        <v>212</v>
      </c>
      <c r="C7" s="16" t="s">
        <v>240</v>
      </c>
      <c r="D7" s="16" t="s">
        <v>241</v>
      </c>
      <c r="E7" s="16" t="s">
        <v>219</v>
      </c>
      <c r="H7" s="16" t="s">
        <v>98</v>
      </c>
    </row>
    <row r="8">
      <c r="B8" s="16" t="s">
        <v>213</v>
      </c>
      <c r="C8" s="16" t="s">
        <v>218</v>
      </c>
      <c r="D8" s="16" t="s">
        <v>242</v>
      </c>
      <c r="H8" s="16" t="s">
        <v>104</v>
      </c>
    </row>
    <row r="9">
      <c r="B9" s="16" t="s">
        <v>216</v>
      </c>
      <c r="D9" s="16" t="s">
        <v>243</v>
      </c>
      <c r="H9" s="16" t="s">
        <v>65</v>
      </c>
    </row>
    <row r="10">
      <c r="B10" s="16" t="s">
        <v>217</v>
      </c>
      <c r="H10" s="16" t="s">
        <v>200</v>
      </c>
    </row>
    <row r="11">
      <c r="B11" s="16" t="s">
        <v>218</v>
      </c>
    </row>
    <row r="12">
      <c r="B12" s="16" t="s">
        <v>219</v>
      </c>
    </row>
    <row r="13">
      <c r="B13" s="16" t="s">
        <v>220</v>
      </c>
    </row>
    <row r="14">
      <c r="B14" s="16" t="s">
        <v>121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96.0"/>
    <col customWidth="1" min="3" max="26" width="8.63"/>
  </cols>
  <sheetData>
    <row r="1">
      <c r="A1" s="14" t="s">
        <v>244</v>
      </c>
      <c r="B1" s="14" t="s">
        <v>245</v>
      </c>
    </row>
    <row r="2">
      <c r="A2" s="22" t="s">
        <v>246</v>
      </c>
      <c r="B2" s="22" t="s">
        <v>247</v>
      </c>
    </row>
    <row r="3">
      <c r="A3" s="22" t="s">
        <v>248</v>
      </c>
      <c r="B3" s="22" t="s">
        <v>249</v>
      </c>
    </row>
    <row r="4">
      <c r="A4" s="22" t="s">
        <v>250</v>
      </c>
      <c r="B4" s="22" t="s">
        <v>251</v>
      </c>
    </row>
    <row r="5">
      <c r="A5" s="22" t="s">
        <v>252</v>
      </c>
      <c r="B5" s="22" t="s">
        <v>253</v>
      </c>
    </row>
    <row r="6">
      <c r="A6" s="22" t="s">
        <v>254</v>
      </c>
      <c r="B6" s="22" t="s">
        <v>255</v>
      </c>
    </row>
    <row r="7">
      <c r="A7" s="22" t="s">
        <v>256</v>
      </c>
      <c r="B7" s="22" t="s">
        <v>257</v>
      </c>
    </row>
    <row r="8">
      <c r="A8" s="22" t="s">
        <v>258</v>
      </c>
      <c r="B8" s="22" t="s">
        <v>259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